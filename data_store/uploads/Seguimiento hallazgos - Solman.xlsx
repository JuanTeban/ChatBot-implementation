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anEstebanGarciaGal\Documents\IBM\Pipelina-excel-flujo\datos_excel\"/>
    </mc:Choice>
  </mc:AlternateContent>
  <xr:revisionPtr revIDLastSave="0" documentId="13_ncr:1_{6741FC84-801A-4F99-8558-DF761DA975E5}" xr6:coauthVersionLast="47" xr6:coauthVersionMax="47" xr10:uidLastSave="{00000000-0000-0000-0000-000000000000}"/>
  <bookViews>
    <workbookView xWindow="-110" yWindow="-110" windowWidth="19420" windowHeight="11020" firstSheet="2" activeTab="3" xr2:uid="{00000000-000D-0000-FFFF-FFFF00000000}"/>
  </bookViews>
  <sheets>
    <sheet name="Sheet1" sheetId="6" r:id="rId1"/>
    <sheet name="informacion_extra" sheetId="2" r:id="rId2"/>
    <sheet name="dinamico" sheetId="3" r:id="rId3"/>
    <sheet name="seguimiento_detalles_defecto" sheetId="1" r:id="rId4"/>
    <sheet name="resumen_diario_estado_defectos" sheetId="4" r:id="rId5"/>
  </sheets>
  <definedNames>
    <definedName name="_xlnm._FilterDatabase" localSheetId="1" hidden="1">informacion_extra!$A$1:$F$71</definedName>
    <definedName name="_xlnm._FilterDatabase" localSheetId="3" hidden="1">seguimiento_detalles_defecto!$A$1:$CP$1</definedName>
  </definedNames>
  <calcPr calcId="191028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F70" i="1"/>
  <c r="G70" i="1"/>
  <c r="H70" i="1"/>
  <c r="I70" i="1"/>
  <c r="E71" i="1"/>
  <c r="F71" i="1"/>
  <c r="G71" i="1"/>
  <c r="H71" i="1"/>
  <c r="I71" i="1"/>
  <c r="E53" i="1"/>
  <c r="E4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6" i="1"/>
  <c r="E47" i="1"/>
  <c r="E48" i="1"/>
  <c r="E49" i="1"/>
  <c r="E50" i="1"/>
  <c r="E51" i="1"/>
  <c r="E52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I38" i="1"/>
  <c r="I36" i="1"/>
  <c r="E2" i="1"/>
  <c r="F2" i="1"/>
  <c r="F3" i="1"/>
  <c r="F4" i="1"/>
  <c r="F5" i="1"/>
  <c r="F6" i="1"/>
  <c r="F7" i="1"/>
  <c r="C8" i="1"/>
  <c r="F8" i="1"/>
  <c r="C9" i="1"/>
  <c r="D9" i="1"/>
  <c r="F9" i="1"/>
  <c r="F10" i="1"/>
  <c r="C11" i="1"/>
  <c r="F11" i="1"/>
  <c r="D12" i="1"/>
  <c r="F12" i="1"/>
  <c r="C13" i="1"/>
  <c r="F13" i="1"/>
  <c r="F14" i="1"/>
  <c r="F15" i="1"/>
  <c r="C16" i="1"/>
  <c r="F16" i="1"/>
  <c r="C17" i="1"/>
  <c r="D17" i="1"/>
  <c r="F17" i="1"/>
  <c r="C18" i="1"/>
  <c r="F18" i="1"/>
  <c r="C19" i="1"/>
  <c r="D19" i="1"/>
  <c r="F19" i="1"/>
  <c r="C20" i="1"/>
  <c r="D20" i="1"/>
  <c r="F20" i="1"/>
  <c r="C21" i="1"/>
  <c r="D21" i="1"/>
  <c r="F21" i="1"/>
  <c r="D22" i="1"/>
  <c r="F22" i="1"/>
  <c r="D23" i="1"/>
  <c r="F23" i="1"/>
  <c r="F24" i="1"/>
  <c r="F25" i="1"/>
  <c r="F26" i="1"/>
  <c r="F27" i="1"/>
  <c r="C28" i="1"/>
  <c r="D28" i="1"/>
  <c r="F28" i="1"/>
  <c r="F29" i="1"/>
  <c r="D30" i="1"/>
  <c r="F30" i="1"/>
  <c r="D31" i="1"/>
  <c r="F31" i="1"/>
  <c r="D32" i="1"/>
  <c r="F32" i="1"/>
  <c r="D33" i="1"/>
  <c r="F33" i="1"/>
  <c r="C34" i="1"/>
  <c r="D34" i="1"/>
  <c r="F34" i="1"/>
  <c r="C35" i="1"/>
  <c r="F35" i="1"/>
  <c r="C36" i="1"/>
  <c r="D36" i="1"/>
  <c r="F36" i="1"/>
  <c r="C37" i="1"/>
  <c r="D37" i="1"/>
  <c r="F37" i="1"/>
  <c r="C38" i="1"/>
  <c r="D38" i="1"/>
  <c r="F38" i="1"/>
  <c r="I63" i="1"/>
  <c r="I64" i="1"/>
  <c r="I65" i="1"/>
  <c r="I66" i="1"/>
  <c r="I67" i="1"/>
  <c r="I68" i="1"/>
  <c r="I69" i="1"/>
  <c r="F66" i="1"/>
  <c r="G66" i="1"/>
  <c r="H66" i="1"/>
  <c r="F67" i="1"/>
  <c r="G67" i="1"/>
  <c r="H67" i="1"/>
  <c r="F68" i="1"/>
  <c r="G68" i="1"/>
  <c r="H68" i="1"/>
  <c r="F69" i="1"/>
  <c r="G69" i="1"/>
  <c r="H69" i="1"/>
  <c r="F63" i="1"/>
  <c r="G63" i="1"/>
  <c r="H63" i="1"/>
  <c r="F64" i="1"/>
  <c r="G64" i="1"/>
  <c r="H64" i="1"/>
  <c r="F65" i="1"/>
  <c r="G65" i="1"/>
  <c r="H6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G2" i="1"/>
  <c r="H2" i="1"/>
  <c r="C47" i="1"/>
  <c r="D47" i="1"/>
  <c r="C48" i="1"/>
  <c r="D48" i="1"/>
  <c r="C44" i="1"/>
  <c r="D44" i="1"/>
  <c r="C45" i="1"/>
  <c r="D45" i="1"/>
  <c r="C46" i="1"/>
  <c r="D46" i="1"/>
  <c r="C43" i="1"/>
  <c r="D43" i="1"/>
  <c r="C49" i="1"/>
  <c r="C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tc={F053971E-C079-4E8A-A28B-2CE5F9F73382}</author>
  </authors>
  <commentList>
    <comment ref="B21" authorId="0" shapeId="0" xr:uid="{F053971E-C079-4E8A-A28B-2CE5F9F733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Fue devuelto a tratamiento
</t>
      </text>
    </comment>
  </commentList>
</comments>
</file>

<file path=xl/sharedStrings.xml><?xml version="1.0" encoding="utf-8"?>
<sst xmlns="http://schemas.openxmlformats.org/spreadsheetml/2006/main" count="884" uniqueCount="312">
  <si>
    <t>Estado de defecto</t>
  </si>
  <si>
    <t>(Multiple Items)</t>
  </si>
  <si>
    <t xml:space="preserve">Frente </t>
  </si>
  <si>
    <t>Defecto</t>
  </si>
  <si>
    <t>Responsable del defecto</t>
  </si>
  <si>
    <t>Antigüedad del defecto (promedio en días)</t>
  </si>
  <si>
    <t>H0_AA_Error carga con datos que existen (8000001533)</t>
  </si>
  <si>
    <t>Oscar Mauricio Parada (49)</t>
  </si>
  <si>
    <t>9,81</t>
  </si>
  <si>
    <t>Oscar Mauricio Parada (49) Total</t>
  </si>
  <si>
    <t>H0_AA_Error carga con datos que existen (8000001533) Total</t>
  </si>
  <si>
    <t>H0_AA_Genera_error_con_datos_opcionales (8000001535)</t>
  </si>
  <si>
    <t>9,80</t>
  </si>
  <si>
    <t>H0_AA_Genera_error_con_datos_opcionales (8000001535) Total</t>
  </si>
  <si>
    <t>H0_AA_Límite_procesamiento_10mil_registr (8000001529)</t>
  </si>
  <si>
    <t>H0_AA_Límite_procesamiento_10mil_registr (8000001529) Total</t>
  </si>
  <si>
    <t>H0_FM_1231_Ejec Gast GT (8000001260)</t>
  </si>
  <si>
    <t>Lina María Rodríguez Bailón (171)</t>
  </si>
  <si>
    <t>20,94</t>
  </si>
  <si>
    <t>Lina María Rodríguez Bailón (171) Total</t>
  </si>
  <si>
    <t>H0_FM_1231_Ejec Gast GT (8000001260) Total</t>
  </si>
  <si>
    <t>H0_TX_1208_F1001 Valores duplicados (8000001228)</t>
  </si>
  <si>
    <t>Ana Maria Brito Llerena (151)</t>
  </si>
  <si>
    <t>23,82</t>
  </si>
  <si>
    <t>Ana Maria Brito Llerena (151) Total</t>
  </si>
  <si>
    <t>H0_TX_1208_F1001 Valores duplicados (8000001228) Total</t>
  </si>
  <si>
    <t>H0_TX_1211_F1005 Sin columna de iva (8000001212)</t>
  </si>
  <si>
    <t>23,85</t>
  </si>
  <si>
    <t>H0_TX_1211_F1005 Sin columna de iva (8000001212) Total</t>
  </si>
  <si>
    <t>H0_TX_1235_F1001 Errores XML (8000001237)</t>
  </si>
  <si>
    <t>23,81</t>
  </si>
  <si>
    <t>H0_TX_1235_F1001 Errores XML (8000001237) Total</t>
  </si>
  <si>
    <t>H0_TX_1248_Errorcargamanualformato1001 (8000001272)</t>
  </si>
  <si>
    <t>20,83</t>
  </si>
  <si>
    <t>H0_TX_1248_Errorcargamanualformato1001 (8000001272) Total</t>
  </si>
  <si>
    <t>H1_FM_758 Controller (8000001296)</t>
  </si>
  <si>
    <t>Jenny Carolina Suarez (101)</t>
  </si>
  <si>
    <t>20,69</t>
  </si>
  <si>
    <t>Jenny Carolina Suarez (101) Total</t>
  </si>
  <si>
    <t>H1_FM_758 Controller (8000001296) Total</t>
  </si>
  <si>
    <t>H1_TR/BCM_FORMATO ARCHIVO TXT BANCO ITAU (8000001527)</t>
  </si>
  <si>
    <t>Manuel Escalante (131)</t>
  </si>
  <si>
    <t>9,89</t>
  </si>
  <si>
    <t>Manuel Escalante (131) Total</t>
  </si>
  <si>
    <t>H1_TR/BCM_FORMATO ARCHIVO TXT BANCO ITAU (8000001527) Total</t>
  </si>
  <si>
    <t>H1_TX_1234_F1001 Valor retenciones (8000001235)</t>
  </si>
  <si>
    <t>H1_TX_1234_F1001 Valor retenciones (8000001235) Total</t>
  </si>
  <si>
    <t>H1_TX_1272_No despliega información (8000001239)</t>
  </si>
  <si>
    <t>23,80</t>
  </si>
  <si>
    <t>H1_TX_1272_No despliega información (8000001239) Total</t>
  </si>
  <si>
    <t>H3_AA_668_ Liberación de reserva fiscal (8000001281)</t>
  </si>
  <si>
    <t>20,82</t>
  </si>
  <si>
    <t>H3_AA_668_ Liberación de reserva fiscal (8000001281) Total</t>
  </si>
  <si>
    <t>H8_TX_630_F5252 Configuración_generación (8000001247)</t>
  </si>
  <si>
    <t>22,03</t>
  </si>
  <si>
    <t>H8_TX_630_F5252 Configuración_generación (8000001247) Total</t>
  </si>
  <si>
    <t>Grand Total</t>
  </si>
  <si>
    <t>Autor del defecto</t>
  </si>
  <si>
    <t>Categoría de defecto</t>
  </si>
  <si>
    <t>H0_ RE_ CONTABILIDA FINANCIERA AGN (8000001462)</t>
  </si>
  <si>
    <t>NATALIA EUGENIA RAMIREZ MOLINA (193)</t>
  </si>
  <si>
    <t>14,62</t>
  </si>
  <si>
    <t>Roles y perfiles</t>
  </si>
  <si>
    <t>Acción responsable test</t>
  </si>
  <si>
    <t>SEBASTIAN GALLEGO VILLEGAS (147)</t>
  </si>
  <si>
    <t>10,61</t>
  </si>
  <si>
    <t>Desarrollo</t>
  </si>
  <si>
    <t>Nuevo</t>
  </si>
  <si>
    <t>10,60</t>
  </si>
  <si>
    <t>H0_AA_Lentitud carga de datos en MC (8000001452)</t>
  </si>
  <si>
    <t>Natalia Manzaneda Palacios (258)</t>
  </si>
  <si>
    <t>ANA MILENA IBARBO GUTIERREZ (320)</t>
  </si>
  <si>
    <t>14,73</t>
  </si>
  <si>
    <t>En tratamiento</t>
  </si>
  <si>
    <t>H0_AP_1236_ERROR ANULAR FRA MIRO (8000001412)</t>
  </si>
  <si>
    <t>Wilmar Vargas Preciado (174)</t>
  </si>
  <si>
    <t>SINDY CRISTINA ALZATE ARIAS (201)</t>
  </si>
  <si>
    <t>18,98</t>
  </si>
  <si>
    <t>Configuración</t>
  </si>
  <si>
    <t>H0_AP_Error en cargue de FI (8000001501)</t>
  </si>
  <si>
    <t>Alberto Rivera Betancourt (822)</t>
  </si>
  <si>
    <t>11,73</t>
  </si>
  <si>
    <t>H0_AP_Error en documento soporte (8000001605)</t>
  </si>
  <si>
    <t>4,65</t>
  </si>
  <si>
    <t>H0_AR_ErrorcargaCXC_ (8000001624)</t>
  </si>
  <si>
    <t>Juan Manuel Ossa Botero (40)</t>
  </si>
  <si>
    <t>ADRIANA CAROLINA PEREZ ORTIZ (327)</t>
  </si>
  <si>
    <t>1,93</t>
  </si>
  <si>
    <t>H0_EPM_TR_BOFA CREACION PLATILLA (8000001559)</t>
  </si>
  <si>
    <t>MANUEL HERNANDO SANTA JARA (132)</t>
  </si>
  <si>
    <t>6,88</t>
  </si>
  <si>
    <t>H0_EPM_TR_ErrorPagosDavivienda (8000001408)</t>
  </si>
  <si>
    <t>19,60</t>
  </si>
  <si>
    <t>Propuesta de solución</t>
  </si>
  <si>
    <t>H0_EWM_EWM_SC048_ERROR HU AUTOMATICA (8000001406)</t>
  </si>
  <si>
    <t>GUSTAVO ADOLFO GARCIA TRUJILLO (393)</t>
  </si>
  <si>
    <t>19,61</t>
  </si>
  <si>
    <t>Funcionales</t>
  </si>
  <si>
    <t>H0_FI_1308_Mensaje  error no corresponde (8000001356)</t>
  </si>
  <si>
    <t>ANA MILENA CHADID JARAMILLO (697)</t>
  </si>
  <si>
    <t>20,64</t>
  </si>
  <si>
    <t>Legados</t>
  </si>
  <si>
    <t>MISAEL ENRIQUE ARAUJO DIAZ (701)</t>
  </si>
  <si>
    <t>21,74</t>
  </si>
  <si>
    <t>H0_FM_1303_Error en cumplimiento tarea (8000001361)</t>
  </si>
  <si>
    <t>20,62</t>
  </si>
  <si>
    <t>H0_FM_R-FI-010 _Diferencia saldo bancos (8000001556)</t>
  </si>
  <si>
    <t>6,89</t>
  </si>
  <si>
    <t>H0_GL_Reclasif Pago Anticipado (8000001512)</t>
  </si>
  <si>
    <t>John Alejandro Rodriguez (41)</t>
  </si>
  <si>
    <t>GLORIA ELENA AGUDELO ARENAS (181)</t>
  </si>
  <si>
    <t>10,97</t>
  </si>
  <si>
    <t>Control de cambio</t>
  </si>
  <si>
    <t>H0_GR_Conversión Mone Comprobantes (8000001632)</t>
  </si>
  <si>
    <t>Nicolas Sarmiento (218)</t>
  </si>
  <si>
    <t>DAMARIS BIVIANA MURCIA SABOYA (103)</t>
  </si>
  <si>
    <t>0,94</t>
  </si>
  <si>
    <t>H0_MM_1141_ROLES Y PERFILES (8000001349)</t>
  </si>
  <si>
    <t>GUSTAVO ESPINOSA (646)</t>
  </si>
  <si>
    <t>PAOLA ANDREA JIMENEZ RODRIGUEZ (492)</t>
  </si>
  <si>
    <t>20,75</t>
  </si>
  <si>
    <t>H0_MM_1258_Carga registros info Proveed (8000001382)</t>
  </si>
  <si>
    <t>LUIS GERMAN PINEDA ARCILA (191)</t>
  </si>
  <si>
    <t>19,85</t>
  </si>
  <si>
    <t>Maestros</t>
  </si>
  <si>
    <t>H0_MM_SC120  EROR VISTA WORZONE (8000001414)</t>
  </si>
  <si>
    <t>18,96</t>
  </si>
  <si>
    <t>H0_PAPM_1294_Capturadecontroladores (8000001391)</t>
  </si>
  <si>
    <t>Raphael Gustavo Gimenes Trivaleti (219)</t>
  </si>
  <si>
    <t>JUAN DAVID VARGAS RESTREPO (127)</t>
  </si>
  <si>
    <t>19,73</t>
  </si>
  <si>
    <t>H0_TR_BCM_ErrorPatronesCarga (8000001378)</t>
  </si>
  <si>
    <t>CAROLINA ECHEVERRI SANTA (783)</t>
  </si>
  <si>
    <t>19,86</t>
  </si>
  <si>
    <t>H0_TR_ERROR MONEDA E IMPORTE ME (8000001603)</t>
  </si>
  <si>
    <t>Nurky Castro (46)</t>
  </si>
  <si>
    <t>ANGELA PATRICIA PERDOMO (175)</t>
  </si>
  <si>
    <t>5,65</t>
  </si>
  <si>
    <t>H0_TR_ERROR TRASLADO COMPENSACIÓN (8000001582)</t>
  </si>
  <si>
    <t>6,47</t>
  </si>
  <si>
    <t>H0_TR/BCM_FORMATO ARCHIVO TXT SUDAMERIS (8000001616)</t>
  </si>
  <si>
    <t>2,94</t>
  </si>
  <si>
    <t>H0_TR/BCM_PROCESAMIENTO RESP BANCOLOMBIA (8000001618)</t>
  </si>
  <si>
    <t>2,47</t>
  </si>
  <si>
    <t>H0_TR/BCM_PROCESAMIENTO RESP BBVA (8000001614)</t>
  </si>
  <si>
    <t>3,76</t>
  </si>
  <si>
    <t>H0_TR/BCM_PROCESAMIENTO RESP BOGOTÁ (8000001622)</t>
  </si>
  <si>
    <t>2,42</t>
  </si>
  <si>
    <t>LINA MARIA SANCHEZ ESCOBAR (771)</t>
  </si>
  <si>
    <t>24,62</t>
  </si>
  <si>
    <t>ELIZABETH MARIA HERNANDEZ RUEDA (767)</t>
  </si>
  <si>
    <t>24,65</t>
  </si>
  <si>
    <t>24,61</t>
  </si>
  <si>
    <t>21,63</t>
  </si>
  <si>
    <t>H0_TX_1301_IVA Incorrecto (8000001241)</t>
  </si>
  <si>
    <t>Juan Pablo Sanchez Martinez (125)</t>
  </si>
  <si>
    <t>24,60</t>
  </si>
  <si>
    <t>H0_TX_736_Faltan campos reporte IVA AFRP (8000001630)</t>
  </si>
  <si>
    <t>1,67</t>
  </si>
  <si>
    <t>H0_TX_Carga Manual (8000001541)</t>
  </si>
  <si>
    <t>8,58</t>
  </si>
  <si>
    <t>H0_TX_Comparativo por cuentas ICA (8000001596)</t>
  </si>
  <si>
    <t>Diana Carolina Sanchez Aguirre (165)</t>
  </si>
  <si>
    <t>LEIDY FABIOLA CARDENAS SUAREZ (188)</t>
  </si>
  <si>
    <t>5,87</t>
  </si>
  <si>
    <t>H0_TX_Comparativo por impuestos ICA (8000001594)</t>
  </si>
  <si>
    <t>H0_TX_Hoja 2 F-350 Sin información (8000001634)</t>
  </si>
  <si>
    <t>Elkin Dario Fernandez Camacho (166)</t>
  </si>
  <si>
    <t>0,73</t>
  </si>
  <si>
    <t>H0_TX_Renglón 133 F-350 Sin información (8000001636)</t>
  </si>
  <si>
    <t>0,72</t>
  </si>
  <si>
    <t>H0-MM-Modif Pedido mensaje salida (8000001608)</t>
  </si>
  <si>
    <t>MONICA PATRICIA GIRALDO PEREZ (192)</t>
  </si>
  <si>
    <t>4,54</t>
  </si>
  <si>
    <t>H1_AP_1198_Errores inf Portal Proveedore (8000001321)</t>
  </si>
  <si>
    <t>PAULA ANDREA MERCADO FLOREZ (776)</t>
  </si>
  <si>
    <t>20,95</t>
  </si>
  <si>
    <t>21,49</t>
  </si>
  <si>
    <t>H1_GL_1263_Error_recepcion_parcial (8000001373)</t>
  </si>
  <si>
    <t>19,98</t>
  </si>
  <si>
    <t>H1_GL_1290_VALIDACION PPTAL NOMINA ERROR (8000001375)</t>
  </si>
  <si>
    <t>SANDRA JANET TAMAYO BEDOYA (199)</t>
  </si>
  <si>
    <t>19,96</t>
  </si>
  <si>
    <t>H1_GR_1300_Conversion Moneda 126000 (8000001300)</t>
  </si>
  <si>
    <t>21,00</t>
  </si>
  <si>
    <t>H1_GR_Eliminacion de dividendos (8000001326)</t>
  </si>
  <si>
    <t>20,90</t>
  </si>
  <si>
    <t>H1_GR_interés minoritario (8000001331)</t>
  </si>
  <si>
    <t>20,89</t>
  </si>
  <si>
    <t>H1_GR_interés no contr utilidades ejerci (8000001328)</t>
  </si>
  <si>
    <t>H1_RE_ ERROR CONTABILIDA FINANCIERA PPTO (8000001368)</t>
  </si>
  <si>
    <t>20,59</t>
  </si>
  <si>
    <t>H1_TR_ERROR ESTADO FACTURA COMPENSA PARC (8000001580)</t>
  </si>
  <si>
    <t>6,48</t>
  </si>
  <si>
    <t>10,69</t>
  </si>
  <si>
    <t>H1_TR/BCM_FORMATO ARCHIVO TXT BBVA (8000001516)</t>
  </si>
  <si>
    <t>10,88</t>
  </si>
  <si>
    <t>H1_TR/BCM_FORMATO ARCHIVO TXT BOGOTÁ (8000001510)</t>
  </si>
  <si>
    <t>11,62</t>
  </si>
  <si>
    <t>Alvaro Arturo Cortes Barreto (92)</t>
  </si>
  <si>
    <t>H2_ RE_ EPM ERROR ANULACIÓN AJUSTE (8000001471)</t>
  </si>
  <si>
    <t>Pedro Emilio Jimenez Pabon (139)</t>
  </si>
  <si>
    <t>13,91</t>
  </si>
  <si>
    <t>H2_GR_1090_GAAP Utilidades no realizadas (8000001317)</t>
  </si>
  <si>
    <t>20,96</t>
  </si>
  <si>
    <t>H2_GR_1094_Eliminación Inversión y patri (8000001309)</t>
  </si>
  <si>
    <t>20,97</t>
  </si>
  <si>
    <t>H2_GR_1101_GAAP Arrendamiento Fro arrend (8000001304)</t>
  </si>
  <si>
    <t>Carlos Martins de Lima (778)</t>
  </si>
  <si>
    <t>20,99</t>
  </si>
  <si>
    <t>H2_GR_1167_Validar extracción saldos FI- (8000001394)</t>
  </si>
  <si>
    <t>19,70</t>
  </si>
  <si>
    <t>H2_TR/BCM_FORMATO ARCHIVO TXT BANCOLOMBI (8000001514)</t>
  </si>
  <si>
    <t>21,62</t>
  </si>
  <si>
    <t>H3_FM_633_ Consumo Pptal del Disponible (8000001211)</t>
  </si>
  <si>
    <t>ANDRES FELIPE ESCOBAR CORREA (260)</t>
  </si>
  <si>
    <t>24,66</t>
  </si>
  <si>
    <t>H4_GR_674_Generar EEFF separados (8000001319)</t>
  </si>
  <si>
    <t>Gustavo Marques Cussioli  (244)</t>
  </si>
  <si>
    <t>H5_GR_1192_Eliminación reciproc x segmen (8000001342)</t>
  </si>
  <si>
    <t>20,86</t>
  </si>
  <si>
    <t>H5_GR_1193_Eliminación reciproc ubic.geo (8000001340)</t>
  </si>
  <si>
    <t>20,87</t>
  </si>
  <si>
    <t>H5_GR_325_acciones poseídas y % particip (8000001322)</t>
  </si>
  <si>
    <t>22,83</t>
  </si>
  <si>
    <t>H9_FM_403_Error Pptal del IVA en Ver Fac (8000001206)</t>
  </si>
  <si>
    <t>24,68</t>
  </si>
  <si>
    <t xml:space="preserve">Pendientes IBM </t>
  </si>
  <si>
    <t xml:space="preserve">Fecha Propuesta de solución </t>
  </si>
  <si>
    <t>(All)</t>
  </si>
  <si>
    <t xml:space="preserve">Count of Modulo </t>
  </si>
  <si>
    <t xml:space="preserve">Modulo </t>
  </si>
  <si>
    <t>AA</t>
  </si>
  <si>
    <t>AP</t>
  </si>
  <si>
    <t>BCM</t>
  </si>
  <si>
    <t>FM</t>
  </si>
  <si>
    <t>GL</t>
  </si>
  <si>
    <t>GR</t>
  </si>
  <si>
    <t>MM</t>
  </si>
  <si>
    <t>PAPM</t>
  </si>
  <si>
    <t>RE</t>
  </si>
  <si>
    <t>TR</t>
  </si>
  <si>
    <t>TX</t>
  </si>
  <si>
    <t xml:space="preserve">TRM </t>
  </si>
  <si>
    <t>AR</t>
  </si>
  <si>
    <t xml:space="preserve">Pendientes cierre EPM </t>
  </si>
  <si>
    <t>EW</t>
  </si>
  <si>
    <t>FI</t>
  </si>
  <si>
    <t>Pendientes IBM que frenan ciclo 2</t>
  </si>
  <si>
    <t xml:space="preserve">Bloqueante escenarios </t>
  </si>
  <si>
    <t>SI</t>
  </si>
  <si>
    <t>N°</t>
  </si>
  <si>
    <t>ID Hallazgo Matriz</t>
  </si>
  <si>
    <t xml:space="preserve">Comentarios </t>
  </si>
  <si>
    <t>NO FINANCIERO</t>
  </si>
  <si>
    <t>FINANCIERO</t>
  </si>
  <si>
    <t xml:space="preserve">FINANCIERO </t>
  </si>
  <si>
    <t>22/07/2025: Equipo tecnico esta revisando con el funcional la parametrizacion  para dar fecha del ajuste 
28/07/2025: Equipo tecnico regresa para funcional para su revisiòn.</t>
  </si>
  <si>
    <t>ET</t>
  </si>
  <si>
    <t xml:space="preserve">NO FINANCIERO </t>
  </si>
  <si>
    <t>29-07-2025</t>
  </si>
  <si>
    <t>28/07/2025: Pendiente revisión prioridad EF extraccion de saldos SC180 y Porcentaje de participación</t>
  </si>
  <si>
    <t xml:space="preserve">Abap:Danilo en tratamiento con Consultor Fiori, Entrega 28 de Julio para pruebas funcionales 
7/29/2025: Equipo tecnico entrega para pruebas dia Lunes 28 </t>
  </si>
  <si>
    <t>TECNICO</t>
  </si>
  <si>
    <t>28/07/2025: Se escala Nota -  884403/2025
CEDR: Despues de hacer varios simulacro se crea nota ya que el proceso se realiza con la herramienta de migracion de datos cockpik estandar de SAP</t>
  </si>
  <si>
    <t xml:space="preserve">24/07/2025: Equipo tecnico ya entrego a pruebas funcionales </t>
  </si>
  <si>
    <t>18/07/2025: Se tansfierea Abap Raphael Gimenes, es una regla de IVA de FM que tiene problemas 
22/07/2025: Equipo tecnico(Danilo) esta revisando con el funcional la parametrizacion para dar fecha del ajuste 
28/07/2025: Equipo tecnico regresa para funcional para su revisiòn.</t>
  </si>
  <si>
    <t xml:space="preserve">28/07/2025: Se escala Nota 885370/2025
CEDR: Nos encontramos buscando alternativas ya que el objeto de autorizacion no esta siendo efectivo en el rol </t>
  </si>
  <si>
    <t>Devolución</t>
  </si>
  <si>
    <t>25/07/2025: Devolución 
16/07/2025: EPM esta validandado EF y darnos sus comentarios para iicar con las firmas
11/07/2025: Este es el del desarrollo, ABAP Documento de EF aprobado para desarrollo</t>
  </si>
  <si>
    <t xml:space="preserve">Por Confirmar </t>
  </si>
  <si>
    <t xml:space="preserve">Se requiere para la salida en producción </t>
  </si>
  <si>
    <t xml:space="preserve">no tiene solución en SAP. Ya Mile y Pedro saben esto pero estamos esperando que se resuelva el hallazgo del escenario de arrendamiento financiero que está de lado de Carlos Martins para hacer una reunión e informarle a EPM. Porque estos dos escenarios están dentro del mismo GAP
11/07/2025: Mile y Pedro lo validan </t>
  </si>
  <si>
    <t>No es hallazgo indican que es por GR, Data Collection pero no, no es la herramienta para eliminaciones. Sin embargo, existe un hallazgo (el que tiene Carlos) que sí trata las eliminaciones.</t>
  </si>
  <si>
    <t xml:space="preserve">11/07/2025: Pendiente por fecha equipo tecnico </t>
  </si>
  <si>
    <t>14/07/2025: No es CC, se realizaran pruebas con usuarios.
Revisión equipo Abap-Raphael Gimenes</t>
  </si>
  <si>
    <t xml:space="preserve">Por confirmar </t>
  </si>
  <si>
    <t>11/07/2025: Exigir Matriz 
14/07/2025: El equipo tecnico entrega el 16 de julio 
18/07/2025: El equipo tecnico entrego el 17 de julio, en pruebas de Lina</t>
  </si>
  <si>
    <t>Escalado a SAP 775798/2025</t>
  </si>
  <si>
    <t>28/07/2025: Se escalo a SAP en espera de respuesta Caso 775798/2025
Revisión eqipo Abap</t>
  </si>
  <si>
    <t>23/07/2025: Nuevo, a la espera de asignación ABAP.
28/07/2025: Equipo tecnico regresa para funcional para su pruebas .</t>
  </si>
  <si>
    <t xml:space="preserve">18/07/2025: Se devuelve por falta de envio de lista de escenarios
7/21/2025: El equipo de EPM anexa, el escenario de prueba </t>
  </si>
  <si>
    <t>18/07/2025:  Escalado a SAP, contestaron pero la respuesta no concuerta con lo esperado, se documenta nuevamente para contestarles
Revisión eqipo Abap-Raphael Gimenes</t>
  </si>
  <si>
    <t xml:space="preserve">28/07/2025: Este me lo entrego el abap para pruebas pero no esta bien, el abap es Raphael Gimenes.
18/07/2025: Se devolvio a validaciòn abap, reviso nuevamente con Raphael el dia lunes, espero mas tardar el martes dejarlo propuesta solucion
11/07/2025: El equipo Tecnico entregara el 17 de Julio </t>
  </si>
  <si>
    <t xml:space="preserve">7/28/2025: Se transfiere equipo Abap Alvaro Cortes
7/29/2025: Equipo tecnico en revision para dar fecha de entrega </t>
  </si>
  <si>
    <t>Escalado a SAP 614441/2025</t>
  </si>
  <si>
    <t>Escalado a SAP 614441/2025
23/07/2025:Pendiente de lado de SA</t>
  </si>
  <si>
    <t xml:space="preserve">Escalado a SAP </t>
  </si>
  <si>
    <t>22/07/2025: Se escala de nuevo a SAP
18/07/2025: Se tendra un reunion entre Mile, Pedro, Leidy y Marilyn para las alternativas de solución 
11/07/2025: Exigir Matriz.  Escalado con nota a SAP  Case 653012/2025</t>
  </si>
  <si>
    <t xml:space="preserve">11/07/2025: Exigir Matriz </t>
  </si>
  <si>
    <t>7/21/2025: Se incia documentación CC</t>
  </si>
  <si>
    <t xml:space="preserve">A nombre de Lina </t>
  </si>
  <si>
    <t>23/07/2025:  En reviciòn tecnica se toma de regreso Vacaciones , se habla con funcional Ana Brito</t>
  </si>
  <si>
    <t>7/21/2025: Debe avanzar con el ajuste para para poder definir la fecha y evaluar ayuda abap.</t>
  </si>
  <si>
    <t>7/21/2025: Debe ser evaluado como control de cambios</t>
  </si>
  <si>
    <t>24/07/2025: Equipo Tecnico regresa el incidente a Funcional para su completa revisiòn (Posible control de cambio)</t>
  </si>
  <si>
    <t>7/21/2025: Debe avanzar con el ajuste para para poder definir la fecha y  evaluar ayuda abap.</t>
  </si>
  <si>
    <t>Creado el 27/07/2025</t>
  </si>
  <si>
    <t xml:space="preserve">Fecha </t>
  </si>
  <si>
    <t xml:space="preserve">Nuevo </t>
  </si>
  <si>
    <t xml:space="preserve">Tratamiento </t>
  </si>
  <si>
    <t>Transferido</t>
  </si>
  <si>
    <t xml:space="preserve">Acción responsable </t>
  </si>
  <si>
    <t xml:space="preserve">Propuesta de solución </t>
  </si>
  <si>
    <t xml:space="preserve">Confirmados </t>
  </si>
  <si>
    <t>14/07/2025</t>
  </si>
  <si>
    <t>15/07/2025</t>
  </si>
  <si>
    <t>16/07/2025</t>
  </si>
  <si>
    <t>18/07/2025</t>
  </si>
  <si>
    <t>21/07/2025</t>
  </si>
  <si>
    <t>22/07/2025</t>
  </si>
  <si>
    <t>28/07/2025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</si>
</sst>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F7F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pivotButton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4" fontId="3" fillId="0" borderId="1" xfId="0" applyNumberFormat="1" applyFont="1" applyBorder="1"/>
    <xf numFmtId="14" fontId="0" fillId="0" borderId="1" xfId="0" applyNumberFormat="1" applyBorder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14" fontId="2" fillId="0" borderId="1" xfId="0" applyNumberFormat="1" applyFont="1" applyBorder="1"/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4" fontId="3" fillId="0" borderId="1" xfId="0" applyNumberFormat="1" applyFont="1" applyBorder="1" applyAlignment="1">
      <alignment vertical="top"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6" xfId="0" applyBorder="1" applyAlignment="1">
      <alignment horizontal="left"/>
    </xf>
    <xf numFmtId="0" fontId="2" fillId="0" borderId="1" xfId="0" applyFont="1" applyBorder="1"/>
    <xf numFmtId="14" fontId="0" fillId="0" borderId="4" xfId="0" applyNumberFormat="1" applyBorder="1"/>
    <xf numFmtId="0" fontId="3" fillId="0" borderId="4" xfId="0" applyFont="1" applyBorder="1"/>
    <xf numFmtId="2" fontId="0" fillId="0" borderId="4" xfId="0" applyNumberFormat="1" applyBorder="1" applyAlignment="1">
      <alignment horizontal="right"/>
    </xf>
    <xf numFmtId="0" fontId="0" fillId="0" borderId="7" xfId="0" applyBorder="1" applyAlignment="1">
      <alignment horizontal="left"/>
    </xf>
    <xf numFmtId="0" fontId="3" fillId="0" borderId="6" xfId="0" applyFont="1" applyBorder="1"/>
    <xf numFmtId="14" fontId="3" fillId="0" borderId="4" xfId="0" applyNumberFormat="1" applyFont="1" applyBorder="1"/>
    <xf numFmtId="14" fontId="2" fillId="0" borderId="3" xfId="0" applyNumberFormat="1" applyFont="1" applyBorder="1"/>
    <xf numFmtId="14" fontId="3" fillId="0" borderId="3" xfId="0" applyNumberFormat="1" applyFont="1" applyBorder="1"/>
    <xf numFmtId="2" fontId="0" fillId="0" borderId="7" xfId="0" applyNumberFormat="1" applyBorder="1" applyAlignment="1">
      <alignment horizontal="right"/>
    </xf>
    <xf numFmtId="0" fontId="4" fillId="5" borderId="0" xfId="0" applyFont="1" applyFill="1"/>
    <xf numFmtId="0" fontId="3" fillId="0" borderId="0" xfId="0" applyFont="1"/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7" xfId="0" applyFont="1" applyBorder="1"/>
    <xf numFmtId="0" fontId="4" fillId="0" borderId="3" xfId="0" applyFont="1" applyBorder="1"/>
    <xf numFmtId="2" fontId="0" fillId="0" borderId="6" xfId="0" applyNumberFormat="1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6" xfId="0" applyBorder="1"/>
    <xf numFmtId="0" fontId="3" fillId="0" borderId="9" xfId="0" applyFont="1" applyBorder="1"/>
    <xf numFmtId="0" fontId="0" fillId="0" borderId="9" xfId="0" applyBorder="1" applyAlignment="1">
      <alignment horizontal="left"/>
    </xf>
    <xf numFmtId="2" fontId="0" fillId="0" borderId="8" xfId="0" applyNumberFormat="1" applyBorder="1" applyAlignment="1">
      <alignment horizontal="right"/>
    </xf>
    <xf numFmtId="0" fontId="3" fillId="0" borderId="10" xfId="0" applyFont="1" applyBorder="1"/>
    <xf numFmtId="0" fontId="0" fillId="0" borderId="10" xfId="0" applyBorder="1" applyAlignment="1">
      <alignment horizontal="left"/>
    </xf>
    <xf numFmtId="0" fontId="4" fillId="0" borderId="10" xfId="0" applyFont="1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2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7" borderId="1" xfId="0" applyFill="1" applyBorder="1" applyAlignment="1">
      <alignment horizontal="right"/>
    </xf>
    <xf numFmtId="14" fontId="0" fillId="7" borderId="1" xfId="0" applyNumberFormat="1" applyFill="1" applyBorder="1"/>
    <xf numFmtId="14" fontId="2" fillId="7" borderId="1" xfId="0" applyNumberFormat="1" applyFont="1" applyFill="1" applyBorder="1"/>
    <xf numFmtId="14" fontId="3" fillId="7" borderId="1" xfId="0" applyNumberFormat="1" applyFont="1" applyFill="1" applyBorder="1"/>
    <xf numFmtId="0" fontId="3" fillId="2" borderId="1" xfId="0" applyFont="1" applyFill="1" applyBorder="1"/>
    <xf numFmtId="14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0" fillId="0" borderId="2" xfId="0" applyBorder="1"/>
    <xf numFmtId="0" fontId="3" fillId="0" borderId="3" xfId="0" applyFont="1" applyBorder="1"/>
    <xf numFmtId="2" fontId="0" fillId="0" borderId="3" xfId="0" applyNumberFormat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0" fontId="2" fillId="0" borderId="6" xfId="0" applyFont="1" applyBorder="1"/>
    <xf numFmtId="0" fontId="0" fillId="2" borderId="1" xfId="0" applyFill="1" applyBorder="1"/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F0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F0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nifer Yohanna Palomares Lopez" id="{2DA222C8-30DB-4E1F-8563-4597DADF1B56}" userId="" providerId="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6.540734837959" createdVersion="8" refreshedVersion="8" minRefreshableVersion="3" recordCount="75" xr:uid="{4CBC1207-BA8F-4219-B24B-54A986911635}">
  <cacheSource type="worksheet">
    <worksheetSource ref="A1:L69" sheet="seguimiento_detalles_defecto"/>
  </cacheSource>
  <cacheFields count="12">
    <cacheField name="N°" numFmtId="0">
      <sharedItems containsSemiMixedTypes="0" containsString="0" containsNumber="1" containsInteger="1" minValue="1" maxValue="75"/>
    </cacheField>
    <cacheField name="Defecto" numFmtId="0">
      <sharedItems count="75">
        <s v="H0-MM-Modif Pedido mensaje salida (8000001608)"/>
        <s v="H0_AP_Error en documento soporte (8000001605)"/>
        <s v="H0_EPM_FM_Errores tecnicos en carga de s (8000001601)"/>
        <s v="H0_TR_ERROR MONEDA E IMPORTE ME (8000001603)"/>
        <s v="H1_ RE_ EPM ERROR ANULACIÓN AJUSTE (8000001471)"/>
        <s v="H0_ RE_ CONTABILIDA FINANCIERA AGN (8000001462)"/>
        <s v="H0_AA_Lentitud carga de datos en MC (8000001452)"/>
        <s v="H0_MM_SC120  EROR VISTA WORZONE (8000001414)"/>
        <s v="H0_AP_1236_ERROR ANULAR FRA MIRO (8000001412)"/>
        <s v="H0_EPM_TR_ErrorPagosDavivienda (8000001408)"/>
        <s v="H0_EWM_EWM_SC048_ERROR HU AUTOMATICA (8000001406)"/>
        <s v="H2_GR_1167_Validar extracción saldos FI- (8000001394)"/>
        <s v="H0_PAPM_1294_Capturadecontroladores (8000001391)"/>
        <s v="H0_MM_1258_Carga registros info Proveed (8000001382)"/>
        <s v="H0_TR_BCM_ErrorPatronesCarga (8000001378)"/>
        <s v="H1_GL_1290_VALIDACION PPTAL NOMINA ERROR (8000001375)"/>
        <s v="H1_GL_1263_Error_recepcion_parcial (8000001373)"/>
        <s v="H1_RE_ ERROR CONTABILIDA FINANCIERA PPTO (8000001368)"/>
        <s v="H0_FM_1303_Error en cumplimiento tarea (8000001361)"/>
        <s v="H0_MM_H981_Campo opcional en integracion (8000001359)"/>
        <s v="H0_FI_1308_Mensaje  error no corresponde (8000001356)"/>
        <s v="H0_MM_H939_integracion no esta funcionan (8000001357)"/>
        <s v="H0_MM_1141_ROLES Y PERFILES (8000001349)"/>
        <s v="H5_GR_1192_Eliminación reciproc x segmen (8000001342)"/>
        <s v="H5_GR_1193_Eliminación reciproc ubic.geo (8000001340)"/>
        <s v="H1_GR_interés minoritario (8000001331)"/>
        <s v="H1_GR_interés no contr utilidades ejerci (8000001328)"/>
        <s v="H1_GR_Eliminacion de dividendos (8000001326)"/>
        <s v="H5_GR_325_acciones poseídas y % particip (8000001322)"/>
        <s v="H1_AP_1198_Errores inf Portal Proveedore (8000001321)"/>
        <s v="H4_GR_674_Generar EEFF separados (8000001319)"/>
        <s v="H2_GR_1090_GAAP Utilidades no realizadas (8000001317)"/>
        <s v="H2_GR_1094_Eliminación Inversión y patri (8000001309)"/>
        <s v="H2_GR_1101_GAAP Arrendamiento Fro arrend (8000001304)"/>
        <s v="H1_GR_1300_Conversion Moneda 126000 (8000001300)"/>
        <s v="H1_FM_758 Controller (8000001296)"/>
        <s v="H3_AA_668_ Liberación de reserva fiscal (8000001281)"/>
        <s v="H5_MM_720_RIESGO CAMBIARIO (8000001280)"/>
        <s v="H0_TX_1248_Errorcargamanualformato1001 (8000001272)"/>
        <s v="H0_FM_1231_Ejec Gast GT (8000001260)"/>
        <s v="H8_TX_630_F5252 Configuración_generación (8000001247)"/>
        <s v="H0_TX_Comparativo por cuentas ICA (8000001596)"/>
        <s v="H0_TX_Comparativo por impuestos ICA (8000001594)"/>
        <s v="H0_TR_ERROR TRASLADO COMPENSACIÓN (8000001582)"/>
        <s v="H1_TR_ERROR ESTADO FACTURA COMPENSA PARC (8000001580)"/>
        <s v="H0_EPM_GL_La cuenta no tiene tipo pos as (8000001574)"/>
        <s v="H0_EPM_GL_El fondo  no existe en la (8000001571)"/>
        <s v="H0_EPM_GL_No contiene posición presupues (8000001567)"/>
        <s v="H0_TX_1301_IVA Incorrecto (8000001241)"/>
        <s v="H1_TX_1234_F1001 Valor retenciones (8000001235)"/>
        <s v="H0_TX_1235_F1001 Errores XML (8000001237)"/>
        <s v="H1_TX_1272_No despliega información (8000001239)"/>
        <s v="H0_TX_1208_F1001 Valores duplicados (8000001228)"/>
        <s v="H0_TX_1211_F1005 Sin columna de iva (8000001212)"/>
        <s v="H3_FM_633_ Consumo Pptal del Disponible (8000001211)"/>
        <s v="H9_FM_403_Error Pptal del IVA en Ver Fac (8000001206)"/>
        <s v="H0_EPM_TR_BOFA CREACION PLATILLA (8000001559)"/>
        <s v="H0_FM_R-FI-010 _Diferencia saldo bancos (8000001556)"/>
        <s v="H0_TX_Carga Manual (8000001541)"/>
        <s v="H0_AA_Genera_error_con_datos_opcionales (8000001535)"/>
        <s v="H0_AA_Error carga con datos que existen (8000001533)"/>
        <s v="H0_AA_Límite_procesamiento_10mil_registr (8000001529)"/>
        <s v="H1_TR/BCM_FORMATO ARCHIVO TXT BANCO ITAU (8000001527)"/>
        <s v="H1_TR/BCM_FORMATO ARCHIVO TXT BANCOLOMBI (8000001514)"/>
        <s v="H0_TR/BCM_FORMATO ARCHIVO TXT BBVA (8000001516)"/>
        <s v="H0_GL_Reclasif Pago Anticipado (8000001512)"/>
        <s v="H1_TR/BCM_FORMATO ARCHIVO TXT BOGOTÁ (8000001510)"/>
        <s v="H0_AP_Error en cargue de FI (8000001501)"/>
        <s v="H0_AR_ErrorcargaCXC_ (8000001624)"/>
        <s v="H0_GR_Conversión Mone Comprobantes (8000001632)"/>
        <s v="H0_TR/BCM_FORMATO ARCHIVO TXT SUDAMERIS (8000001616)"/>
        <s v="H0_TR/BCM_PROCESAMIENTO RESP BANCOLOMBIA (8000001618)"/>
        <s v="H0_TR/BCM_PROCESAMIENTO RESP BBVA (8000001614)"/>
        <s v="H0_TR/BCM_PROCESAMIENTO RESP BOGOTÁ (8000001622)"/>
        <s v="H0_TX_736_Faltan campos reporte IVA AFRP (8000001630)"/>
      </sharedItems>
    </cacheField>
    <cacheField name="Modulo " numFmtId="0">
      <sharedItems/>
    </cacheField>
    <cacheField name="ID Hallazgo Matriz" numFmtId="0">
      <sharedItems containsMixedTypes="1" containsNumber="1" containsInteger="1" minValue="325" maxValue="1408"/>
    </cacheField>
    <cacheField name="Responsable del defecto" numFmtId="0">
      <sharedItems count="30">
        <s v="Wilmar Vargas Preciado (174)"/>
        <s v="Alberto Rivera Betancourt (822)"/>
        <s v="Juan Manuel Ossa Botero (40)"/>
        <s v="Nurky Castro (46)"/>
        <s v="NATALIA EUGENIA RAMIREZ MOLINA (193)"/>
        <s v="Natalia Manzaneda Palacios (258)"/>
        <s v="PAOLA ANDREA JIMENEZ RODRIGUEZ (492)"/>
        <s v="MANUEL HERNANDO SANTA JARA (132)"/>
        <s v="GUSTAVO ADOLFO GARCIA TRUJILLO (393)"/>
        <s v="Nicolas Sarmiento (218)"/>
        <s v="Raphael Gustavo Gimenes Trivaleti (219)"/>
        <s v="GUSTAVO ESPINOSA (646)"/>
        <s v="CAROLINA ECHEVERRI SANTA (783)"/>
        <s v="SANDRA JANET TAMAYO BEDOYA (199)"/>
        <s v="John Alejandro Rodriguez (41)"/>
        <s v="ANA MILENA CHADID JARAMILLO (697)"/>
        <s v="OMAR AUGUSTO ESTRADA OSSA (194)"/>
        <s v="Gustavo Marques Cussioli  (244)"/>
        <s v="Carlos Martins de Lima (778)"/>
        <s v="Jenny Carolina Suarez (101)"/>
        <s v="Oscar Mauricio Parada (49)"/>
        <s v="JOSE ADAN MEDINA ALEAN (184)"/>
        <s v="Ana Maria Brito Llerena (151)"/>
        <s v="Lina María Rodríguez Bailón (171)"/>
        <s v="Alvaro Arturo Cortes Barreto (92)"/>
        <s v="LUZ CORINA RODRIGUEZ VASQUEZ (177)"/>
        <s v="Juan Pablo Sanchez Martinez (125)"/>
        <s v="ANDRES FELIPE ESCOBAR CORREA (260)"/>
        <s v="Manuel Escalante (131)"/>
        <s v="Danilo Faleiros Depolli (214)"/>
      </sharedItems>
    </cacheField>
    <cacheField name="Autor del defecto" numFmtId="0">
      <sharedItems count="26">
        <s v="MONICA PATRICIA GIRALDO PEREZ (192)"/>
        <s v="SINDY CRISTINA ALZATE ARIAS (201)"/>
        <s v="LUZ CORINA RODRIGUEZ VASQUEZ (177)"/>
        <s v="ANGELA PATRICIA PERDOMO (175)"/>
        <s v="NATALIA EUGENIA RAMIREZ MOLINA (193)"/>
        <s v="ANA MILENA IBARBO GUTIERREZ (320)"/>
        <s v="PAOLA ANDREA JIMENEZ RODRIGUEZ (492)"/>
        <s v="MANUEL HERNANDO SANTA JARA (132)"/>
        <s v="GUSTAVO ADOLFO GARCIA TRUJILLO (393)"/>
        <s v="DAMARIS BIVIANA MURCIA SABOYA (103)"/>
        <s v="JUAN DAVID VARGAS RESTREPO (127)"/>
        <s v="LUIS GERMAN PINEDA ARCILA (191)"/>
        <s v="CAROLINA ECHEVERRI SANTA (783)"/>
        <s v="SANDRA JANET TAMAYO BEDOYA (199)"/>
        <s v="GLORIA ELENA AGUDELO ARENAS (181)"/>
        <s v="ANA MILENA CHADID JARAMILLO (697)"/>
        <s v="OMAR AUGUSTO ESTRADA OSSA (194)"/>
        <s v="PAULA ANDREA MERCADO FLOREZ (776)"/>
        <s v="MISAEL ENRIQUE ARAUJO DIAZ (701)"/>
        <s v="LEIDY FABIOLA CARDENAS SUAREZ (188)"/>
        <s v="JOSE ADAN MEDINA ALEAN (184)"/>
        <s v="ELIZABETH MARIA HERNANDEZ RUEDA (767)"/>
        <s v="LINA MARIA SANCHEZ ESCOBAR (771)"/>
        <s v="ANDRES FELIPE ESCOBAR CORREA (260)"/>
        <s v="SEBASTIAN GALLEGO VILLEGAS (147)"/>
        <s v="ADRIANA CAROLINA PEREZ ORTIZ (327)"/>
      </sharedItems>
    </cacheField>
    <cacheField name="Antigüedad del defecto (promedio en días)" numFmtId="2">
      <sharedItems count="66">
        <s v="3,74"/>
        <s v="3,85"/>
        <s v="4,85"/>
        <s v="13,11"/>
        <s v="13,82"/>
        <s v="13,93"/>
        <s v="18,16"/>
        <s v="18,18"/>
        <s v="18,80"/>
        <s v="18,81"/>
        <s v="18,90"/>
        <s v="18,93"/>
        <s v="19,05"/>
        <s v="19,06"/>
        <s v="19,16"/>
        <s v="19,18"/>
        <s v="19,79"/>
        <s v="19,82"/>
        <s v="19,83"/>
        <s v="19,84"/>
        <s v="19,95"/>
        <s v="20,06"/>
        <s v="20,07"/>
        <s v="20,09"/>
        <s v="20,10"/>
        <s v="20,14"/>
        <s v="20,15"/>
        <s v="20,16"/>
        <s v="20,17"/>
        <s v="20,19"/>
        <s v="20,20"/>
        <s v="20,69"/>
        <s v="20,82"/>
        <s v="20,83"/>
        <s v="20,94"/>
        <s v="22,03"/>
        <s v="5,07"/>
        <s v="5,67"/>
        <s v="5,68"/>
        <s v="5,84"/>
        <s v="5,92"/>
        <s v="5,93"/>
        <s v="23,80"/>
        <s v="23,81"/>
        <s v="23,82"/>
        <s v="23,85"/>
        <s v="23,86"/>
        <s v="23,88"/>
        <s v="6,08"/>
        <s v="6,09"/>
        <s v="7,78"/>
        <s v="9,80"/>
        <s v="9,81"/>
        <s v="9,89"/>
        <s v="10,08"/>
        <s v="10,07"/>
        <s v="10,17"/>
        <s v="10,82"/>
        <s v="10,93"/>
        <s v="1,13"/>
        <s v="0,14"/>
        <s v="2,14"/>
        <s v="1,67"/>
        <s v="2,95"/>
        <s v="1,62"/>
        <s v="0,87"/>
      </sharedItems>
    </cacheField>
    <cacheField name="Categoría de defecto" numFmtId="2">
      <sharedItems containsMixedTypes="1" containsNumber="1" containsInteger="1" minValue="0" maxValue="0"/>
    </cacheField>
    <cacheField name="Estado de defecto" numFmtId="0">
      <sharedItems count="4">
        <s v="Nuevo"/>
        <s v="En tratamiento"/>
        <s v="Acción responsable test"/>
        <s v="Propuesta de solución"/>
      </sharedItems>
    </cacheField>
    <cacheField name="Fecha Propuesta de solución " numFmtId="0">
      <sharedItems containsDate="1" containsBlank="1" containsMixedTypes="1" minDate="2025-07-09T00:00:00" maxDate="2025-11-08T00:00:00"/>
    </cacheField>
    <cacheField name="Comentarios " numFmtId="0">
      <sharedItems containsBlank="1" longText="1"/>
    </cacheField>
    <cacheField name="Frente " numFmtId="0">
      <sharedItems count="6">
        <s v="NO FINANCIERO"/>
        <s v="FINANCIERO"/>
        <s v="FINANCIERO "/>
        <s v="ET"/>
        <s v="NO FINANCIERO "/>
        <s v="TECNI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7.378122916663" createdVersion="8" refreshedVersion="8" minRefreshableVersion="3" recordCount="139" xr:uid="{233D30EA-A301-4ACE-BE5D-F2C118C0CE2F}">
  <cacheSource type="worksheet">
    <worksheetSource ref="A1:L1048576" sheet="seguimiento_detalles_defecto"/>
  </cacheSource>
  <cacheFields count="12">
    <cacheField name="N°" numFmtId="0">
      <sharedItems containsString="0" containsBlank="1" containsNumber="1" containsInteger="1" minValue="1" maxValue="70"/>
    </cacheField>
    <cacheField name="Defecto" numFmtId="0">
      <sharedItems containsBlank="1"/>
    </cacheField>
    <cacheField name="Modulo " numFmtId="0">
      <sharedItems containsBlank="1" count="20">
        <s v="MM"/>
        <s v="AP"/>
        <s v="TR"/>
        <s v="RE"/>
        <s v="AA"/>
        <s v="BCM"/>
        <s v="EW"/>
        <s v="GR"/>
        <s v="PAPM"/>
        <s v="GL"/>
        <s v="FM"/>
        <s v="FI"/>
        <s v="TX"/>
        <s v="TRM "/>
        <s v="AR"/>
        <m/>
        <s v="TRM" u="1"/>
        <s v="PA" u="1"/>
        <s v="SD" u="1"/>
        <s v=" RE" u="1"/>
      </sharedItems>
    </cacheField>
    <cacheField name="ID Hallazgo Matriz" numFmtId="0">
      <sharedItems containsBlank="1" containsMixedTypes="1" containsNumber="1" containsInteger="1" minValue="325" maxValue="1408"/>
    </cacheField>
    <cacheField name="Responsable del defecto" numFmtId="0">
      <sharedItems containsBlank="1"/>
    </cacheField>
    <cacheField name="Autor del defecto" numFmtId="0">
      <sharedItems containsBlank="1"/>
    </cacheField>
    <cacheField name="Antigüedad del defecto (promedio en días)" numFmtId="0">
      <sharedItems containsBlank="1"/>
    </cacheField>
    <cacheField name="Categoría de defecto" numFmtId="0">
      <sharedItems containsBlank="1" containsMixedTypes="1" containsNumber="1" containsInteger="1" minValue="0" maxValue="0"/>
    </cacheField>
    <cacheField name="Estado de defecto" numFmtId="0">
      <sharedItems containsBlank="1" count="7">
        <s v="Nuevo"/>
        <s v="En tratamiento"/>
        <s v="Acción responsable test"/>
        <s v="Propuesta de solución"/>
        <m/>
        <s v="_x000a_Acción responsable test" u="1"/>
        <s v="Transferido" u="1"/>
      </sharedItems>
    </cacheField>
    <cacheField name="Fecha Propuesta de solución " numFmtId="0">
      <sharedItems containsDate="1" containsBlank="1" containsMixedTypes="1" minDate="2025-04-08T00:00:00" maxDate="2025-09-08T00:00:00"/>
    </cacheField>
    <cacheField name="Comentarios " numFmtId="0">
      <sharedItems containsBlank="1" longText="1"/>
    </cacheField>
    <cacheField name="Frente " numFmtId="0">
      <sharedItems containsBlank="1" count="7">
        <s v="NO FINANCIERO"/>
        <s v="FINANCIERO"/>
        <s v="FINANCIERO "/>
        <s v="ET"/>
        <s v="NO FINANCIERO "/>
        <s v="TECNIC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7.382960300929" createdVersion="8" refreshedVersion="8" minRefreshableVersion="3" recordCount="139" xr:uid="{E279F014-6D4E-46F7-B6BD-85CC7B95088A}">
  <cacheSource type="worksheet">
    <worksheetSource ref="A1:M1048576" sheet="seguimiento_detalles_defecto"/>
  </cacheSource>
  <cacheFields count="13">
    <cacheField name="N°" numFmtId="0">
      <sharedItems containsString="0" containsBlank="1" containsNumber="1" containsInteger="1" minValue="1" maxValue="70"/>
    </cacheField>
    <cacheField name="Defecto" numFmtId="0">
      <sharedItems containsBlank="1"/>
    </cacheField>
    <cacheField name="Modulo " numFmtId="0">
      <sharedItems containsBlank="1" count="16">
        <s v="MM"/>
        <s v="AP"/>
        <s v="TR"/>
        <s v="RE"/>
        <s v="AA"/>
        <s v="BCM"/>
        <s v="EW"/>
        <s v="GR"/>
        <s v="PAPM"/>
        <s v="GL"/>
        <s v="FM"/>
        <s v="FI"/>
        <s v="TX"/>
        <s v="TRM "/>
        <s v="AR"/>
        <m/>
      </sharedItems>
    </cacheField>
    <cacheField name="ID Hallazgo Matriz" numFmtId="0">
      <sharedItems containsBlank="1" containsMixedTypes="1" containsNumber="1" containsInteger="1" minValue="325" maxValue="1408"/>
    </cacheField>
    <cacheField name="Responsable del defecto" numFmtId="0">
      <sharedItems containsBlank="1"/>
    </cacheField>
    <cacheField name="Autor del defecto" numFmtId="0">
      <sharedItems containsBlank="1"/>
    </cacheField>
    <cacheField name="Antigüedad del defecto (promedio en días)" numFmtId="0">
      <sharedItems containsBlank="1"/>
    </cacheField>
    <cacheField name="Categoría de defecto" numFmtId="0">
      <sharedItems containsBlank="1" containsMixedTypes="1" containsNumber="1" containsInteger="1" minValue="0" maxValue="0"/>
    </cacheField>
    <cacheField name="Estado de defecto" numFmtId="0">
      <sharedItems containsBlank="1" count="5">
        <s v="Nuevo"/>
        <s v="En tratamiento"/>
        <s v="Acción responsable test"/>
        <s v="Propuesta de solución"/>
        <m/>
      </sharedItems>
    </cacheField>
    <cacheField name="Fecha Propuesta de solución " numFmtId="0">
      <sharedItems containsDate="1" containsBlank="1" containsMixedTypes="1" minDate="2025-04-08T00:00:00" maxDate="2025-09-08T00:00:00"/>
    </cacheField>
    <cacheField name="Comentarios " numFmtId="0">
      <sharedItems containsBlank="1" longText="1"/>
    </cacheField>
    <cacheField name="Frente " numFmtId="0">
      <sharedItems containsBlank="1"/>
    </cacheField>
    <cacheField name="Bloqueante escenarios " numFmtId="0">
      <sharedItems containsBlank="1" count="2">
        <s v="S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7.442092939818" createdVersion="8" refreshedVersion="8" minRefreshableVersion="3" recordCount="71" xr:uid="{21D9BDF5-64AA-4C46-A58D-DC9141F3373C}">
  <cacheSource type="worksheet">
    <worksheetSource ref="A1:J1048576" sheet="seguimiento_detalles_defecto"/>
  </cacheSource>
  <cacheFields count="10">
    <cacheField name="N°" numFmtId="0">
      <sharedItems containsString="0" containsBlank="1" containsNumber="1" containsInteger="1" minValue="1" maxValue="70"/>
    </cacheField>
    <cacheField name="Defecto" numFmtId="0">
      <sharedItems containsBlank="1"/>
    </cacheField>
    <cacheField name="Modulo " numFmtId="0">
      <sharedItems containsBlank="1" count="19">
        <s v="MM"/>
        <s v="AP"/>
        <s v="TR"/>
        <s v="RE"/>
        <s v="AA"/>
        <s v="BCM"/>
        <s v="EW"/>
        <s v="GR"/>
        <s v="PAPM"/>
        <s v="GL"/>
        <s v="FM"/>
        <s v="FI"/>
        <s v="TX"/>
        <s v="TRM "/>
        <s v="AR"/>
        <m/>
        <s v="TRM" u="1"/>
        <s v="PA" u="1"/>
        <s v="SD" u="1"/>
      </sharedItems>
    </cacheField>
    <cacheField name="ID Hallazgo Matriz" numFmtId="0">
      <sharedItems containsBlank="1" containsMixedTypes="1" containsNumber="1" containsInteger="1" minValue="325" maxValue="1408"/>
    </cacheField>
    <cacheField name="Responsable del defecto" numFmtId="0">
      <sharedItems containsBlank="1"/>
    </cacheField>
    <cacheField name="Autor del defecto" numFmtId="0">
      <sharedItems containsBlank="1"/>
    </cacheField>
    <cacheField name="Antigüedad del defecto (promedio en días)" numFmtId="0">
      <sharedItems containsBlank="1"/>
    </cacheField>
    <cacheField name="Categoría de defecto" numFmtId="0">
      <sharedItems containsBlank="1" containsMixedTypes="1" containsNumber="1" containsInteger="1" minValue="0" maxValue="0"/>
    </cacheField>
    <cacheField name="Estado de defecto" numFmtId="0">
      <sharedItems containsBlank="1" count="5">
        <s v="Nuevo"/>
        <s v="En tratamiento"/>
        <s v="Acción responsable test"/>
        <s v="Propuesta de solución"/>
        <m/>
      </sharedItems>
    </cacheField>
    <cacheField name="Fecha Propuesta de solución " numFmtId="0">
      <sharedItems containsDate="1" containsBlank="1" containsMixedTypes="1" minDate="2025-04-08T00:00:00" maxDate="2025-11-08T00:00:00" count="32">
        <d v="2025-04-08T00:00:00"/>
        <m/>
        <s v="29-07-2025"/>
        <d v="2025-07-16T00:00:00"/>
        <d v="2025-07-09T00:00:00"/>
        <d v="2025-08-01T00:00:00"/>
        <d v="2025-09-07T00:00:00"/>
        <d v="2025-07-11T00:00:00"/>
        <d v="2025-07-15T00:00:00"/>
        <s v="Por Confirmar "/>
        <d v="2025-07-17T00:00:00"/>
        <d v="2025-07-30T00:00:00"/>
        <d v="2025-07-29T00:00:00"/>
        <d v="2025-08-08T00:00:00"/>
        <s v="Escalado a SAP 775798/2025"/>
        <d v="2025-07-31T00:00:00"/>
        <d v="2025-08-06T00:00:00"/>
        <d v="2025-08-05T00:00:00"/>
        <d v="2025-08-15T00:00:00"/>
        <s v="Escalado a SAP 614441/2025"/>
        <s v="Escalado a SAP "/>
        <d v="2025-07-23T00:00:00"/>
        <d v="2025-11-07T00:00:00" u="1"/>
        <s v="Escalado a SAP" u="1"/>
        <d v="2025-07-10T00:00:00" u="1"/>
        <d v="2025-07-18T00:00:00" u="1"/>
        <d v="2025-07-14T00:00:00" u="1"/>
        <d v="2025-07-21T00:00:00" u="1"/>
        <d v="2025-07-24T00:00:00" u="1"/>
        <d v="2025-07-25T00:00:00" u="1"/>
        <d v="2025-07-22T00:00:00" u="1"/>
        <d v="2025-07-07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"/>
    <x v="0"/>
    <s v="MM"/>
    <s v="Nuevo"/>
    <x v="0"/>
    <x v="0"/>
    <x v="0"/>
    <n v="0"/>
    <x v="0"/>
    <m/>
    <m/>
    <x v="0"/>
  </r>
  <r>
    <n v="2"/>
    <x v="1"/>
    <s v="AP"/>
    <s v="Nuevo"/>
    <x v="1"/>
    <x v="1"/>
    <x v="1"/>
    <s v="Desarrollo"/>
    <x v="0"/>
    <m/>
    <m/>
    <x v="1"/>
  </r>
  <r>
    <n v="3"/>
    <x v="2"/>
    <s v="FM"/>
    <s v="Nuevo"/>
    <x v="2"/>
    <x v="2"/>
    <x v="2"/>
    <n v="0"/>
    <x v="0"/>
    <m/>
    <m/>
    <x v="1"/>
  </r>
  <r>
    <n v="4"/>
    <x v="3"/>
    <s v="TR"/>
    <s v="Nuevo"/>
    <x v="3"/>
    <x v="3"/>
    <x v="2"/>
    <s v="Desarrollo"/>
    <x v="1"/>
    <m/>
    <m/>
    <x v="1"/>
  </r>
  <r>
    <n v="5"/>
    <x v="4"/>
    <s v="RE"/>
    <s v="Nuevo"/>
    <x v="4"/>
    <x v="4"/>
    <x v="3"/>
    <s v="Desarrollo"/>
    <x v="2"/>
    <m/>
    <m/>
    <x v="2"/>
  </r>
  <r>
    <n v="6"/>
    <x v="5"/>
    <s v="RE"/>
    <s v="Nuevo"/>
    <x v="4"/>
    <x v="4"/>
    <x v="4"/>
    <s v="Roles y perfiles"/>
    <x v="2"/>
    <m/>
    <s v="22/07/2025: Equipo tecnico esta revisando con el funcional la parametrizacion  para dar fecha del ajuste _x000a_28/07/2025: Equipo tecnico regresa para funcional para su revisiòn."/>
    <x v="3"/>
  </r>
  <r>
    <n v="7"/>
    <x v="6"/>
    <s v="AA"/>
    <s v="Nuevo"/>
    <x v="5"/>
    <x v="5"/>
    <x v="5"/>
    <n v="0"/>
    <x v="1"/>
    <m/>
    <m/>
    <x v="0"/>
  </r>
  <r>
    <n v="8"/>
    <x v="7"/>
    <s v="MM"/>
    <s v="Nuevo"/>
    <x v="6"/>
    <x v="6"/>
    <x v="6"/>
    <n v="0"/>
    <x v="3"/>
    <m/>
    <m/>
    <x v="4"/>
  </r>
  <r>
    <n v="9"/>
    <x v="8"/>
    <s v="AP"/>
    <s v="1236"/>
    <x v="0"/>
    <x v="1"/>
    <x v="7"/>
    <s v="Configuración"/>
    <x v="1"/>
    <s v="29-07-2025"/>
    <m/>
    <x v="0"/>
  </r>
  <r>
    <n v="10"/>
    <x v="9"/>
    <s v="BCM"/>
    <n v="1408"/>
    <x v="7"/>
    <x v="7"/>
    <x v="8"/>
    <s v="Desarrollo"/>
    <x v="3"/>
    <m/>
    <s v="Control de cambio"/>
    <x v="2"/>
  </r>
  <r>
    <n v="11"/>
    <x v="10"/>
    <s v="EW"/>
    <s v="Nuevo"/>
    <x v="8"/>
    <x v="8"/>
    <x v="9"/>
    <s v="Funcionales"/>
    <x v="2"/>
    <m/>
    <m/>
    <x v="4"/>
  </r>
  <r>
    <n v="12"/>
    <x v="11"/>
    <s v="GR"/>
    <s v="1167"/>
    <x v="9"/>
    <x v="9"/>
    <x v="10"/>
    <s v="Configuración"/>
    <x v="1"/>
    <m/>
    <m/>
    <x v="1"/>
  </r>
  <r>
    <n v="13"/>
    <x v="12"/>
    <s v="PAPM"/>
    <n v="1294"/>
    <x v="10"/>
    <x v="10"/>
    <x v="11"/>
    <n v="0"/>
    <x v="0"/>
    <m/>
    <s v="Abap:Danilo en tratamiento con Consultor Fiori, Entrega 28 de Julio para pruebas funcionales "/>
    <x v="5"/>
  </r>
  <r>
    <n v="14"/>
    <x v="13"/>
    <s v="MM"/>
    <s v="Nuevo"/>
    <x v="11"/>
    <x v="11"/>
    <x v="12"/>
    <s v="Maestros"/>
    <x v="1"/>
    <m/>
    <s v="CEDR: El consultor se encuentra realizando analisis y pruebas para lograr encontrar un respuesta."/>
    <x v="0"/>
  </r>
  <r>
    <n v="15"/>
    <x v="14"/>
    <s v="TR"/>
    <s v="Nuevo"/>
    <x v="12"/>
    <x v="12"/>
    <x v="13"/>
    <s v="Configuración"/>
    <x v="3"/>
    <d v="2025-07-16T00:00:00"/>
    <m/>
    <x v="2"/>
  </r>
  <r>
    <n v="16"/>
    <x v="15"/>
    <s v="GL"/>
    <n v="724"/>
    <x v="13"/>
    <x v="13"/>
    <x v="14"/>
    <s v="Desarrollo"/>
    <x v="3"/>
    <d v="2025-07-09T00:00:00"/>
    <m/>
    <x v="2"/>
  </r>
  <r>
    <n v="17"/>
    <x v="16"/>
    <s v="GL"/>
    <s v="1263"/>
    <x v="14"/>
    <x v="14"/>
    <x v="15"/>
    <s v="Desarrollo"/>
    <x v="1"/>
    <d v="2025-08-01T00:00:00"/>
    <s v="24/07/2025: Equipo tecnico ya entrego a pruebas funcionales "/>
    <x v="1"/>
  </r>
  <r>
    <n v="18"/>
    <x v="17"/>
    <s v="RE"/>
    <s v="Nuevo"/>
    <x v="4"/>
    <x v="4"/>
    <x v="16"/>
    <s v="Configuración"/>
    <x v="3"/>
    <m/>
    <s v="18/07/2025: Se tansfierea Abap Raphael Gimenes, es una regla de IVA de FM que tiene problemas _x000a_22/07/2025: Equipo tecnico(Danilo) esta revisando con el funcional la parametrizacion para dar fecha del ajuste _x000a_28/07/2025: Equipo tecnico regresa para funcional para su revisiòn."/>
    <x v="3"/>
  </r>
  <r>
    <n v="19"/>
    <x v="18"/>
    <s v="FM"/>
    <s v="1303"/>
    <x v="15"/>
    <x v="15"/>
    <x v="17"/>
    <n v="0"/>
    <x v="3"/>
    <d v="2025-09-07T00:00:00"/>
    <m/>
    <x v="2"/>
  </r>
  <r>
    <n v="20"/>
    <x v="19"/>
    <s v="MM"/>
    <n v="981"/>
    <x v="16"/>
    <x v="16"/>
    <x v="18"/>
    <n v="0"/>
    <x v="2"/>
    <d v="2025-11-07T00:00:00"/>
    <m/>
    <x v="4"/>
  </r>
  <r>
    <n v="21"/>
    <x v="20"/>
    <s v="FI"/>
    <s v="1308"/>
    <x v="15"/>
    <x v="15"/>
    <x v="19"/>
    <s v="Legados"/>
    <x v="2"/>
    <m/>
    <m/>
    <x v="2"/>
  </r>
  <r>
    <n v="22"/>
    <x v="21"/>
    <s v="MM"/>
    <n v="939"/>
    <x v="16"/>
    <x v="16"/>
    <x v="19"/>
    <n v="0"/>
    <x v="2"/>
    <d v="2025-11-07T00:00:00"/>
    <m/>
    <x v="4"/>
  </r>
  <r>
    <n v="23"/>
    <x v="22"/>
    <s v="MM"/>
    <s v="1141"/>
    <x v="11"/>
    <x v="6"/>
    <x v="20"/>
    <n v="0"/>
    <x v="1"/>
    <m/>
    <s v="CEDR: Nos encontramos buscando alternativas ya que el objeto de autorizacion no esta siendo efectivo en el rol "/>
    <x v="0"/>
  </r>
  <r>
    <n v="24"/>
    <x v="23"/>
    <s v="GR"/>
    <s v="1192"/>
    <x v="9"/>
    <x v="9"/>
    <x v="21"/>
    <s v="Configuración"/>
    <x v="1"/>
    <m/>
    <s v="Devolución"/>
    <x v="1"/>
  </r>
  <r>
    <n v="25"/>
    <x v="24"/>
    <s v="GR"/>
    <s v="1193"/>
    <x v="9"/>
    <x v="9"/>
    <x v="22"/>
    <s v="Configuración"/>
    <x v="1"/>
    <m/>
    <s v="Devolución"/>
    <x v="1"/>
  </r>
  <r>
    <n v="26"/>
    <x v="25"/>
    <s v="GR"/>
    <s v="Nuevo"/>
    <x v="9"/>
    <x v="9"/>
    <x v="23"/>
    <s v="Configuración"/>
    <x v="1"/>
    <d v="2025-07-11T00:00:00"/>
    <s v="Devolución"/>
    <x v="1"/>
  </r>
  <r>
    <n v="27"/>
    <x v="26"/>
    <s v="GR"/>
    <s v="Nuevo"/>
    <x v="9"/>
    <x v="9"/>
    <x v="23"/>
    <s v="Configuración"/>
    <x v="1"/>
    <d v="2025-07-11T00:00:00"/>
    <s v="Devolución"/>
    <x v="1"/>
  </r>
  <r>
    <n v="28"/>
    <x v="27"/>
    <s v="GR"/>
    <s v="Nuevo"/>
    <x v="9"/>
    <x v="9"/>
    <x v="24"/>
    <s v="Configuración"/>
    <x v="1"/>
    <d v="2025-07-11T00:00:00"/>
    <s v="Devolución"/>
    <x v="1"/>
  </r>
  <r>
    <n v="29"/>
    <x v="28"/>
    <s v="GR"/>
    <n v="325"/>
    <x v="9"/>
    <x v="9"/>
    <x v="25"/>
    <s v="Configuración"/>
    <x v="1"/>
    <m/>
    <s v="25/07/2025: Devolución _x000a_16/07/2025: EPM esta validandado EF y darnos sus comentarios para iicar con las firmas_x000a_11/07/2025: Este es el del desarrollo, ABAP Documento de EF aprobado para desarrollo"/>
    <x v="1"/>
  </r>
  <r>
    <n v="30"/>
    <x v="29"/>
    <s v="AP"/>
    <s v="1198"/>
    <x v="1"/>
    <x v="17"/>
    <x v="25"/>
    <s v="Desarrollo"/>
    <x v="1"/>
    <d v="2025-07-15T00:00:00"/>
    <m/>
    <x v="1"/>
  </r>
  <r>
    <n v="31"/>
    <x v="30"/>
    <s v="GR"/>
    <n v="674"/>
    <x v="17"/>
    <x v="9"/>
    <x v="26"/>
    <s v="Configuración"/>
    <x v="1"/>
    <s v="Por Confirmar "/>
    <m/>
    <x v="1"/>
  </r>
  <r>
    <n v="32"/>
    <x v="31"/>
    <s v="GR"/>
    <s v="1090"/>
    <x v="9"/>
    <x v="9"/>
    <x v="27"/>
    <s v="Configuración"/>
    <x v="1"/>
    <m/>
    <s v="no tiene solución en SAP. Ya Mile y Pedro saben esto pero estamos esperando que se resuelva el hallazgo del escenario de arrendamiento financiero que está de lado de Carlos Martins para hacer una reunión e informarle a EPM. Porque estos dos escenarios están dentro del mismo GAP_x000a_11/07/2025: Mile y Pedro lo validan "/>
    <x v="1"/>
  </r>
  <r>
    <n v="33"/>
    <x v="32"/>
    <s v="GR"/>
    <s v="1094"/>
    <x v="9"/>
    <x v="9"/>
    <x v="28"/>
    <s v="Configuración"/>
    <x v="1"/>
    <d v="2025-07-17T00:00:00"/>
    <s v="Devolución"/>
    <x v="1"/>
  </r>
  <r>
    <n v="34"/>
    <x v="33"/>
    <s v="GR"/>
    <s v="1101"/>
    <x v="18"/>
    <x v="9"/>
    <x v="29"/>
    <s v="Configuración"/>
    <x v="1"/>
    <m/>
    <s v="No es hallazgo indican que es por GR, Data Collection pero no, no es la herramienta para eliminaciones. Sin embargo, existe un hallazgo (el que tiene Carlos) que sí trata las eliminaciones."/>
    <x v="1"/>
  </r>
  <r>
    <n v="35"/>
    <x v="34"/>
    <s v="GR"/>
    <s v="1300"/>
    <x v="9"/>
    <x v="9"/>
    <x v="30"/>
    <s v="Configuración"/>
    <x v="1"/>
    <d v="2025-07-30T00:00:00"/>
    <m/>
    <x v="1"/>
  </r>
  <r>
    <n v="36"/>
    <x v="35"/>
    <s v="FM"/>
    <s v="758 "/>
    <x v="19"/>
    <x v="18"/>
    <x v="31"/>
    <s v="Desarrollo"/>
    <x v="1"/>
    <m/>
    <s v="11/07/2025: Pendiente por fecha equipo tecnico "/>
    <x v="1"/>
  </r>
  <r>
    <n v="37"/>
    <x v="36"/>
    <s v="AA"/>
    <n v="668"/>
    <x v="20"/>
    <x v="19"/>
    <x v="32"/>
    <s v="Desarrollo"/>
    <x v="1"/>
    <d v="2025-07-29T00:00:00"/>
    <m/>
    <x v="1"/>
  </r>
  <r>
    <n v="38"/>
    <x v="37"/>
    <s v="MM"/>
    <n v="720"/>
    <x v="21"/>
    <x v="20"/>
    <x v="32"/>
    <n v="0"/>
    <x v="3"/>
    <m/>
    <m/>
    <x v="3"/>
  </r>
  <r>
    <n v="39"/>
    <x v="38"/>
    <s v="TX"/>
    <s v="1248"/>
    <x v="22"/>
    <x v="21"/>
    <x v="33"/>
    <s v="Desarrollo"/>
    <x v="1"/>
    <d v="2025-08-08T00:00:00"/>
    <s v="14/07/2025: No es CC, se realizaran pruebas con usuarios._x000a_Revisión eqipo Abap-Raphael Gimenes"/>
    <x v="1"/>
  </r>
  <r>
    <n v="40"/>
    <x v="39"/>
    <s v="FM"/>
    <s v="1231"/>
    <x v="23"/>
    <x v="18"/>
    <x v="34"/>
    <s v="Desarrollo"/>
    <x v="1"/>
    <s v="Por Confirmar "/>
    <s v="11/07/2025: Exigir Matriz _x000a_14/07/2025: El equipo tecnico entrega el 16 de julio _x000a_18/07/2025: El equipo tecnico entrego el 17 de julio, en pruebas de Lina"/>
    <x v="1"/>
  </r>
  <r>
    <n v="41"/>
    <x v="40"/>
    <s v="TX"/>
    <s v="630_"/>
    <x v="22"/>
    <x v="22"/>
    <x v="35"/>
    <s v="Desarrollo"/>
    <x v="1"/>
    <d v="2025-07-11T00:00:00"/>
    <s v="Revisión eqipo Abap"/>
    <x v="1"/>
  </r>
  <r>
    <n v="42"/>
    <x v="41"/>
    <s v="TX"/>
    <s v="Nuevo"/>
    <x v="24"/>
    <x v="19"/>
    <x v="36"/>
    <n v="0"/>
    <x v="1"/>
    <m/>
    <s v="23/07/2025: Nuevo, a la espera de asignación ABAP._x000a_28/07/2025: Equipo tecnico regresa para funcional para su pruebas ."/>
    <x v="5"/>
  </r>
  <r>
    <n v="43"/>
    <x v="42"/>
    <s v="TX"/>
    <s v="Nuevo"/>
    <x v="24"/>
    <x v="19"/>
    <x v="36"/>
    <n v="0"/>
    <x v="1"/>
    <m/>
    <s v="23/07/2025: Nuevo, a la espera de asignación ABAP._x000a_28/07/2025: Equipo tecnico regresa para funcional para su pruebas ."/>
    <x v="5"/>
  </r>
  <r>
    <n v="44"/>
    <x v="43"/>
    <s v="TR"/>
    <s v="Nuevo"/>
    <x v="3"/>
    <x v="3"/>
    <x v="37"/>
    <s v="Desarrollo"/>
    <x v="1"/>
    <d v="2025-07-31T00:00:00"/>
    <m/>
    <x v="1"/>
  </r>
  <r>
    <n v="45"/>
    <x v="44"/>
    <s v="TR"/>
    <s v="Nuevo"/>
    <x v="3"/>
    <x v="3"/>
    <x v="38"/>
    <s v="Desarrollo"/>
    <x v="1"/>
    <m/>
    <m/>
    <x v="1"/>
  </r>
  <r>
    <n v="46"/>
    <x v="45"/>
    <s v="GL"/>
    <s v="Nuevo"/>
    <x v="25"/>
    <x v="2"/>
    <x v="39"/>
    <n v="0"/>
    <x v="3"/>
    <m/>
    <m/>
    <x v="2"/>
  </r>
  <r>
    <n v="47"/>
    <x v="46"/>
    <s v="GL"/>
    <s v="Nuevo"/>
    <x v="25"/>
    <x v="2"/>
    <x v="40"/>
    <n v="0"/>
    <x v="3"/>
    <d v="2025-07-29T00:00:00"/>
    <m/>
    <x v="2"/>
  </r>
  <r>
    <n v="48"/>
    <x v="47"/>
    <s v="GL"/>
    <s v="Nuevo"/>
    <x v="2"/>
    <x v="2"/>
    <x v="41"/>
    <n v="0"/>
    <x v="0"/>
    <d v="2025-07-29T00:00:00"/>
    <m/>
    <x v="1"/>
  </r>
  <r>
    <n v="49"/>
    <x v="48"/>
    <s v="TX"/>
    <s v="1301"/>
    <x v="26"/>
    <x v="22"/>
    <x v="42"/>
    <s v="Desarrollo"/>
    <x v="1"/>
    <m/>
    <s v="18/07/2025: Se devuelve por falta de envio de lista de escenarios_x000a_7/21/2025: El equipo de EPM anexa, el escenario de prueba "/>
    <x v="5"/>
  </r>
  <r>
    <n v="50"/>
    <x v="49"/>
    <s v="TX"/>
    <s v="1234"/>
    <x v="22"/>
    <x v="22"/>
    <x v="43"/>
    <s v="Desarrollo"/>
    <x v="1"/>
    <s v="Escalado a SAP"/>
    <s v="18/07/2025:  Escalado a SAP, contestaron pero la respuesta no concuerta con lo esperado, se documenta nuevamente para contestarles_x000a_Revisión eqipo Abap-Raphael Gimenes"/>
    <x v="1"/>
  </r>
  <r>
    <n v="51"/>
    <x v="50"/>
    <s v="TX"/>
    <s v="1235"/>
    <x v="22"/>
    <x v="22"/>
    <x v="43"/>
    <s v="Desarrollo"/>
    <x v="1"/>
    <m/>
    <s v="18/07/2025: Se devolvio a validaciòn abap, reviso nuevamente con Raphael el dia lunes, espero mas tardar el martes dejarlo propuesta solucion_x000a_11/07/2025: El equipo Tecnico entregara el 17 de Julio "/>
    <x v="1"/>
  </r>
  <r>
    <n v="52"/>
    <x v="51"/>
    <s v="TX"/>
    <s v="1272"/>
    <x v="22"/>
    <x v="22"/>
    <x v="42"/>
    <s v="Desarrollo"/>
    <x v="1"/>
    <m/>
    <m/>
    <x v="1"/>
  </r>
  <r>
    <n v="53"/>
    <x v="52"/>
    <s v="TX"/>
    <s v="1208"/>
    <x v="22"/>
    <x v="22"/>
    <x v="44"/>
    <s v="Desarrollo"/>
    <x v="1"/>
    <s v="Escalado a SAP"/>
    <s v="Escalado a SAP 614441/2025_x000a_23/07/2025:Pendiente de lado de SA"/>
    <x v="1"/>
  </r>
  <r>
    <n v="54"/>
    <x v="53"/>
    <s v="TX"/>
    <s v="1211"/>
    <x v="22"/>
    <x v="21"/>
    <x v="45"/>
    <s v="Desarrollo"/>
    <x v="1"/>
    <m/>
    <m/>
    <x v="1"/>
  </r>
  <r>
    <n v="55"/>
    <x v="54"/>
    <s v="FM"/>
    <n v="633"/>
    <x v="27"/>
    <x v="23"/>
    <x v="46"/>
    <s v="Desarrollo"/>
    <x v="2"/>
    <s v="Escalado a SAP "/>
    <s v="22/07/2025: Se escala de nuevo a SAP_x000a_18/07/2025: Se tendra un reunion entre Mile, Pedro, Leidy y Marilyn para las alternativas de solución _x000a_11/07/2025: Exigir Matriz.  Escalado con nota a SAP  Case 653012/2025"/>
    <x v="2"/>
  </r>
  <r>
    <n v="56"/>
    <x v="55"/>
    <s v="FM"/>
    <n v="403"/>
    <x v="27"/>
    <x v="23"/>
    <x v="47"/>
    <s v="Desarrollo"/>
    <x v="2"/>
    <m/>
    <s v="11/07/2025: Exigir Matriz "/>
    <x v="2"/>
  </r>
  <r>
    <n v="57"/>
    <x v="56"/>
    <s v="TR"/>
    <s v="Nuevo"/>
    <x v="28"/>
    <x v="7"/>
    <x v="48"/>
    <n v="0"/>
    <x v="0"/>
    <m/>
    <s v="7/21/2025: Se incia documentación CC"/>
    <x v="1"/>
  </r>
  <r>
    <n v="58"/>
    <x v="57"/>
    <s v="FM"/>
    <s v="Nuevo"/>
    <x v="29"/>
    <x v="18"/>
    <x v="49"/>
    <s v="Desarrollo"/>
    <x v="1"/>
    <m/>
    <s v="A nombre de Lina "/>
    <x v="5"/>
  </r>
  <r>
    <n v="59"/>
    <x v="58"/>
    <s v="TX"/>
    <s v="Nuevo"/>
    <x v="10"/>
    <x v="22"/>
    <x v="50"/>
    <s v="Desarrollo"/>
    <x v="1"/>
    <m/>
    <s v="23/07/2025:  En reviciòn tecnica se toma de regreso Vacaciones , se habla con funcional Ana Brito"/>
    <x v="5"/>
  </r>
  <r>
    <n v="60"/>
    <x v="59"/>
    <s v="AA"/>
    <s v="Nuevo"/>
    <x v="20"/>
    <x v="24"/>
    <x v="51"/>
    <s v="Desarrollo"/>
    <x v="0"/>
    <m/>
    <m/>
    <x v="1"/>
  </r>
  <r>
    <n v="61"/>
    <x v="60"/>
    <s v="AA"/>
    <s v="Nuevo"/>
    <x v="20"/>
    <x v="24"/>
    <x v="52"/>
    <s v="Desarrollo"/>
    <x v="0"/>
    <m/>
    <m/>
    <x v="1"/>
  </r>
  <r>
    <n v="62"/>
    <x v="61"/>
    <s v="AA"/>
    <s v="Nuevo"/>
    <x v="20"/>
    <x v="24"/>
    <x v="52"/>
    <s v="Desarrollo"/>
    <x v="0"/>
    <m/>
    <m/>
    <x v="1"/>
  </r>
  <r>
    <n v="63"/>
    <x v="62"/>
    <s v="TRM "/>
    <s v="Nuevo"/>
    <x v="28"/>
    <x v="3"/>
    <x v="53"/>
    <s v="Configuración"/>
    <x v="1"/>
    <d v="2025-07-23T00:00:00"/>
    <m/>
    <x v="1"/>
  </r>
  <r>
    <n v="64"/>
    <x v="63"/>
    <s v="TRM "/>
    <s v="Nuevo"/>
    <x v="28"/>
    <x v="3"/>
    <x v="54"/>
    <s v="Configuración"/>
    <x v="1"/>
    <d v="2025-07-31T00:00:00"/>
    <s v="7/21/2025: Debe avanzar con el ajuste para para poder definir la fecha y evaluar ayuda abap."/>
    <x v="1"/>
  </r>
  <r>
    <n v="65"/>
    <x v="64"/>
    <s v="TRM "/>
    <s v="Nuevo"/>
    <x v="28"/>
    <x v="3"/>
    <x v="55"/>
    <s v="Configuración"/>
    <x v="1"/>
    <m/>
    <s v="7/21/2025: Debe ser evaluado como control de cambios"/>
    <x v="1"/>
  </r>
  <r>
    <n v="66"/>
    <x v="65"/>
    <s v="GL"/>
    <s v="Nuevo"/>
    <x v="14"/>
    <x v="14"/>
    <x v="56"/>
    <s v="Control de cambio"/>
    <x v="0"/>
    <d v="2025-08-01T00:00:00"/>
    <s v="24/07/2025: Equipo Tecnico regresa el incidente a Funcional para su completa revisiòn (Posible control de cambio)"/>
    <x v="1"/>
  </r>
  <r>
    <n v="67"/>
    <x v="66"/>
    <s v="TRM "/>
    <s v="Nuevo"/>
    <x v="28"/>
    <x v="3"/>
    <x v="57"/>
    <s v="Configuración"/>
    <x v="1"/>
    <d v="2025-07-31T00:00:00"/>
    <s v="7/21/2025: Debe avanzar con el ajuste para para poder definir la fecha y  evaluar ayuda abap."/>
    <x v="1"/>
  </r>
  <r>
    <n v="68"/>
    <x v="67"/>
    <s v="AP"/>
    <s v="Nuevo"/>
    <x v="1"/>
    <x v="1"/>
    <x v="58"/>
    <s v="Desarrollo"/>
    <x v="1"/>
    <m/>
    <m/>
    <x v="1"/>
  </r>
  <r>
    <n v="69"/>
    <x v="68"/>
    <s v="AR"/>
    <s v="Nuevo"/>
    <x v="2"/>
    <x v="25"/>
    <x v="59"/>
    <s v="Configuración"/>
    <x v="0"/>
    <m/>
    <m/>
    <x v="1"/>
  </r>
  <r>
    <n v="70"/>
    <x v="69"/>
    <s v="GR"/>
    <s v="Nuevo"/>
    <x v="9"/>
    <x v="9"/>
    <x v="60"/>
    <s v="Configuración"/>
    <x v="0"/>
    <m/>
    <m/>
    <x v="1"/>
  </r>
  <r>
    <n v="71"/>
    <x v="70"/>
    <s v="BCM"/>
    <s v="Nuevo"/>
    <x v="28"/>
    <x v="3"/>
    <x v="61"/>
    <s v="Configuración"/>
    <x v="1"/>
    <m/>
    <m/>
    <x v="1"/>
  </r>
  <r>
    <n v="72"/>
    <x v="71"/>
    <s v="BCM"/>
    <s v="Nuevo"/>
    <x v="28"/>
    <x v="3"/>
    <x v="62"/>
    <s v="Configuración"/>
    <x v="1"/>
    <m/>
    <m/>
    <x v="1"/>
  </r>
  <r>
    <n v="73"/>
    <x v="72"/>
    <s v="BCM"/>
    <s v="Nuevo"/>
    <x v="28"/>
    <x v="3"/>
    <x v="63"/>
    <s v="Configuración"/>
    <x v="1"/>
    <m/>
    <m/>
    <x v="1"/>
  </r>
  <r>
    <n v="74"/>
    <x v="73"/>
    <s v="BCM"/>
    <s v="Nuevo"/>
    <x v="28"/>
    <x v="3"/>
    <x v="64"/>
    <s v="Configuración"/>
    <x v="1"/>
    <m/>
    <m/>
    <x v="1"/>
  </r>
  <r>
    <n v="75"/>
    <x v="74"/>
    <s v="TX"/>
    <s v="Nuevo"/>
    <x v="22"/>
    <x v="22"/>
    <x v="65"/>
    <s v="Control de cambio"/>
    <x v="1"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1"/>
    <s v="H0-MM-Modif Pedido mensaje salida (8000001608)"/>
    <x v="0"/>
    <s v="Nuevo"/>
    <s v="Wilmar Vargas Preciado (174)"/>
    <s v="MONICA PATRICIA GIRALDO PEREZ (192)"/>
    <s v="4,54"/>
    <n v="0"/>
    <x v="0"/>
    <d v="2025-04-08T00:00:00"/>
    <m/>
    <x v="0"/>
  </r>
  <r>
    <n v="2"/>
    <s v="H0_AP_Error en documento soporte (8000001605)"/>
    <x v="1"/>
    <s v="Nuevo"/>
    <s v="Alberto Rivera Betancourt (822)"/>
    <s v="SINDY CRISTINA ALZATE ARIAS (201)"/>
    <s v="4,65"/>
    <s v="Desarrollo"/>
    <x v="0"/>
    <m/>
    <m/>
    <x v="1"/>
  </r>
  <r>
    <n v="3"/>
    <s v="H0_TR_ERROR MONEDA E IMPORTE ME (8000001603)"/>
    <x v="2"/>
    <s v="Nuevo"/>
    <s v="Nurky Castro (46)"/>
    <s v="ANGELA PATRICIA PERDOMO (175)"/>
    <s v="5,65"/>
    <s v="Desarrollo"/>
    <x v="1"/>
    <m/>
    <m/>
    <x v="1"/>
  </r>
  <r>
    <n v="4"/>
    <s v="H2_ RE_ EPM ERROR ANULACIÓN AJUSTE (8000001471)"/>
    <x v="3"/>
    <s v="Nuevo"/>
    <s v="Pedro Emilio Jimenez Pabon (139)"/>
    <s v="NATALIA EUGENIA RAMIREZ MOLINA (193)"/>
    <s v="13,91"/>
    <s v="Desarrollo"/>
    <x v="1"/>
    <m/>
    <m/>
    <x v="2"/>
  </r>
  <r>
    <n v="5"/>
    <s v="H0_ RE_ CONTABILIDA FINANCIERA AGN (8000001462)"/>
    <x v="3"/>
    <s v="Nuevo"/>
    <s v="NATALIA EUGENIA RAMIREZ MOLINA (193)"/>
    <s v="NATALIA EUGENIA RAMIREZ MOLINA (193)"/>
    <s v="14,62"/>
    <s v="Roles y perfiles"/>
    <x v="2"/>
    <m/>
    <s v="22/07/2025: Equipo tecnico esta revisando con el funcional la parametrizacion  para dar fecha del ajuste _x000a_28/07/2025: Equipo tecnico regresa para funcional para su revisiòn."/>
    <x v="3"/>
  </r>
  <r>
    <n v="6"/>
    <s v="H0_AA_Lentitud carga de datos en MC (8000001452)"/>
    <x v="4"/>
    <s v="Nuevo"/>
    <s v="Natalia Manzaneda Palacios (258)"/>
    <s v="ANA MILENA IBARBO GUTIERREZ (320)"/>
    <s v="14,73"/>
    <n v="0"/>
    <x v="1"/>
    <m/>
    <m/>
    <x v="0"/>
  </r>
  <r>
    <n v="7"/>
    <s v="H0_MM_SC120  EROR VISTA WORZONE (8000001414)"/>
    <x v="0"/>
    <s v="Nuevo"/>
    <s v="PAOLA ANDREA JIMENEZ RODRIGUEZ (492)"/>
    <s v="PAOLA ANDREA JIMENEZ RODRIGUEZ (492)"/>
    <s v="18,96"/>
    <n v="0"/>
    <x v="3"/>
    <m/>
    <m/>
    <x v="4"/>
  </r>
  <r>
    <n v="8"/>
    <s v="H0_AP_1236_ERROR ANULAR FRA MIRO (8000001412)"/>
    <x v="1"/>
    <s v="1236"/>
    <s v="Wilmar Vargas Preciado (174)"/>
    <s v="SINDY CRISTINA ALZATE ARIAS (201)"/>
    <s v="18,98"/>
    <s v="Configuración"/>
    <x v="1"/>
    <s v="29-07-2025"/>
    <m/>
    <x v="0"/>
  </r>
  <r>
    <n v="9"/>
    <s v="H0_EPM_TR_ErrorPagosDavivienda (8000001408)"/>
    <x v="5"/>
    <n v="1408"/>
    <s v="MANUEL HERNANDO SANTA JARA (132)"/>
    <s v="MANUEL HERNANDO SANTA JARA (132)"/>
    <s v="19,60"/>
    <s v="Desarrollo"/>
    <x v="3"/>
    <m/>
    <s v="Control de cambio"/>
    <x v="2"/>
  </r>
  <r>
    <n v="10"/>
    <s v="H0_EWM_EWM_SC048_ERROR HU AUTOMATICA (8000001406)"/>
    <x v="6"/>
    <s v="Nuevo"/>
    <s v="GUSTAVO ADOLFO GARCIA TRUJILLO (393)"/>
    <s v="GUSTAVO ADOLFO GARCIA TRUJILLO (393)"/>
    <s v="19,61"/>
    <s v="Funcionales"/>
    <x v="2"/>
    <m/>
    <m/>
    <x v="4"/>
  </r>
  <r>
    <n v="11"/>
    <s v="H2_GR_1167_Validar extracción saldos FI- (8000001394)"/>
    <x v="7"/>
    <s v="1167"/>
    <s v="Nicolas Sarmiento (218)"/>
    <s v="DAMARIS BIVIANA MURCIA SABOYA (103)"/>
    <s v="19,70"/>
    <s v="Configuración"/>
    <x v="3"/>
    <m/>
    <s v="28/07/2025: Pendiente revisión prioridad EF extraccion de saldos SC180 y Porcentaje de participación"/>
    <x v="1"/>
  </r>
  <r>
    <n v="12"/>
    <s v="H0_PAPM_1294_Capturadecontroladores (8000001391)"/>
    <x v="8"/>
    <n v="1294"/>
    <s v="Raphael Gustavo Gimenes Trivaleti (219)"/>
    <s v="JUAN DAVID VARGAS RESTREPO (127)"/>
    <s v="19,73"/>
    <n v="0"/>
    <x v="0"/>
    <m/>
    <s v="Abap:Danilo en tratamiento con Consultor Fiori, Entrega 28 de Julio para pruebas funcionales _x000a_7/29/2025: Equipo tecnico entrega para pruebas dia Lunes 28 "/>
    <x v="5"/>
  </r>
  <r>
    <n v="13"/>
    <s v="H0_MM_1258_Carga registros info Proveed (8000001382)"/>
    <x v="0"/>
    <s v="Nuevo"/>
    <s v="GUSTAVO ESPINOSA (646)"/>
    <s v="LUIS GERMAN PINEDA ARCILA (191)"/>
    <s v="19,85"/>
    <s v="Maestros"/>
    <x v="1"/>
    <m/>
    <s v="28/07/2025: Se escala Nota -  884403/2025_x000a_CEDR: Despues de hacer varios simulacro se crea nota ya que el proceso se realiza con la herramienta de migracion de datos cockpik estandar de SAP"/>
    <x v="0"/>
  </r>
  <r>
    <n v="14"/>
    <s v="H0_TR_BCM_ErrorPatronesCarga (8000001378)"/>
    <x v="2"/>
    <s v="Nuevo"/>
    <s v="CAROLINA ECHEVERRI SANTA (783)"/>
    <s v="CAROLINA ECHEVERRI SANTA (783)"/>
    <s v="19,86"/>
    <s v="Configuración"/>
    <x v="3"/>
    <d v="2025-07-16T00:00:00"/>
    <m/>
    <x v="2"/>
  </r>
  <r>
    <n v="15"/>
    <s v="H1_GL_1290_VALIDACION PPTAL NOMINA ERROR (8000001375)"/>
    <x v="9"/>
    <n v="724"/>
    <s v="SANDRA JANET TAMAYO BEDOYA (199)"/>
    <s v="SANDRA JANET TAMAYO BEDOYA (199)"/>
    <s v="19,96"/>
    <s v="Desarrollo"/>
    <x v="3"/>
    <d v="2025-07-09T00:00:00"/>
    <m/>
    <x v="2"/>
  </r>
  <r>
    <n v="16"/>
    <s v="H1_GL_1263_Error_recepcion_parcial (8000001373)"/>
    <x v="9"/>
    <s v="1263"/>
    <s v="John Alejandro Rodriguez (41)"/>
    <s v="GLORIA ELENA AGUDELO ARENAS (181)"/>
    <s v="19,98"/>
    <s v="Desarrollo"/>
    <x v="1"/>
    <d v="2025-08-01T00:00:00"/>
    <s v="24/07/2025: Equipo tecnico ya entrego a pruebas funcionales "/>
    <x v="1"/>
  </r>
  <r>
    <n v="17"/>
    <s v="H1_RE_ ERROR CONTABILIDA FINANCIERA PPTO (8000001368)"/>
    <x v="3"/>
    <s v="Nuevo"/>
    <s v="NATALIA EUGENIA RAMIREZ MOLINA (193)"/>
    <s v="NATALIA EUGENIA RAMIREZ MOLINA (193)"/>
    <s v="20,59"/>
    <s v="Configuración"/>
    <x v="3"/>
    <m/>
    <s v="18/07/2025: Se tansfierea Abap Raphael Gimenes, es una regla de IVA de FM que tiene problemas _x000a_22/07/2025: Equipo tecnico(Danilo) esta revisando con el funcional la parametrizacion para dar fecha del ajuste _x000a_28/07/2025: Equipo tecnico regresa para funcional para su revisiòn."/>
    <x v="3"/>
  </r>
  <r>
    <n v="18"/>
    <s v="H0_FM_1303_Error en cumplimiento tarea (8000001361)"/>
    <x v="10"/>
    <s v="1303"/>
    <s v="ANA MILENA CHADID JARAMILLO (697)"/>
    <s v="ANA MILENA CHADID JARAMILLO (697)"/>
    <s v="20,62"/>
    <n v="0"/>
    <x v="3"/>
    <d v="2025-09-07T00:00:00"/>
    <m/>
    <x v="2"/>
  </r>
  <r>
    <n v="19"/>
    <s v="H0_FI_1308_Mensaje  error no corresponde (8000001356)"/>
    <x v="11"/>
    <s v="1308"/>
    <s v="ANA MILENA CHADID JARAMILLO (697)"/>
    <s v="ANA MILENA CHADID JARAMILLO (697)"/>
    <s v="20,64"/>
    <s v="Legados"/>
    <x v="2"/>
    <m/>
    <m/>
    <x v="2"/>
  </r>
  <r>
    <n v="20"/>
    <s v="H0_MM_1141_ROLES Y PERFILES (8000001349)"/>
    <x v="0"/>
    <s v="1141"/>
    <s v="GUSTAVO ESPINOSA (646)"/>
    <s v="PAOLA ANDREA JIMENEZ RODRIGUEZ (492)"/>
    <s v="20,75"/>
    <n v="0"/>
    <x v="1"/>
    <m/>
    <s v="28/07/2025: Se escala Nota 885370/2025_x000a_CEDR: Nos encontramos buscando alternativas ya que el objeto de autorizacion no esta siendo efectivo en el rol "/>
    <x v="0"/>
  </r>
  <r>
    <n v="21"/>
    <s v="H5_GR_1192_Eliminación reciproc x segmen (8000001342)"/>
    <x v="7"/>
    <s v="1192"/>
    <s v="Nicolas Sarmiento (218)"/>
    <s v="DAMARIS BIVIANA MURCIA SABOYA (103)"/>
    <s v="20,86"/>
    <s v="Configuración"/>
    <x v="2"/>
    <m/>
    <s v="Devolución"/>
    <x v="1"/>
  </r>
  <r>
    <n v="22"/>
    <s v="H5_GR_1193_Eliminación reciproc ubic.geo (8000001340)"/>
    <x v="7"/>
    <s v="1193"/>
    <s v="Nicolas Sarmiento (218)"/>
    <s v="DAMARIS BIVIANA MURCIA SABOYA (103)"/>
    <s v="20,87"/>
    <s v="Configuración"/>
    <x v="2"/>
    <m/>
    <s v="Devolución"/>
    <x v="1"/>
  </r>
  <r>
    <n v="23"/>
    <s v="H1_GR_interés minoritario (8000001331)"/>
    <x v="7"/>
    <s v="Nuevo"/>
    <s v="Nicolas Sarmiento (218)"/>
    <s v="DAMARIS BIVIANA MURCIA SABOYA (103)"/>
    <s v="20,89"/>
    <s v="Configuración"/>
    <x v="2"/>
    <d v="2025-07-11T00:00:00"/>
    <s v="Devolución"/>
    <x v="1"/>
  </r>
  <r>
    <n v="24"/>
    <s v="H1_GR_interés no contr utilidades ejerci (8000001328)"/>
    <x v="7"/>
    <s v="Nuevo"/>
    <s v="Nicolas Sarmiento (218)"/>
    <s v="DAMARIS BIVIANA MURCIA SABOYA (103)"/>
    <s v="20,89"/>
    <s v="Configuración"/>
    <x v="1"/>
    <d v="2025-07-11T00:00:00"/>
    <s v="Devolución"/>
    <x v="1"/>
  </r>
  <r>
    <n v="25"/>
    <s v="H1_GR_Eliminacion de dividendos (8000001326)"/>
    <x v="7"/>
    <s v="Nuevo"/>
    <s v="Nicolas Sarmiento (218)"/>
    <s v="DAMARIS BIVIANA MURCIA SABOYA (103)"/>
    <s v="20,90"/>
    <s v="Configuración"/>
    <x v="2"/>
    <d v="2025-07-11T00:00:00"/>
    <s v="Devolución"/>
    <x v="1"/>
  </r>
  <r>
    <n v="26"/>
    <s v="H5_GR_325_acciones poseídas y % particip (8000001322)"/>
    <x v="7"/>
    <n v="325"/>
    <s v="Nicolas Sarmiento (218)"/>
    <s v="DAMARIS BIVIANA MURCIA SABOYA (103)"/>
    <s v="20,94"/>
    <s v="Configuración"/>
    <x v="1"/>
    <m/>
    <s v="25/07/2025: Devolución _x000a_16/07/2025: EPM esta validandado EF y darnos sus comentarios para iicar con las firmas_x000a_11/07/2025: Este es el del desarrollo, ABAP Documento de EF aprobado para desarrollo"/>
    <x v="1"/>
  </r>
  <r>
    <n v="27"/>
    <s v="H1_AP_1198_Errores inf Portal Proveedore (8000001321)"/>
    <x v="1"/>
    <s v="1198"/>
    <s v="Alberto Rivera Betancourt (822)"/>
    <s v="PAULA ANDREA MERCADO FLOREZ (776)"/>
    <s v="20,95"/>
    <s v="Desarrollo"/>
    <x v="1"/>
    <d v="2025-07-15T00:00:00"/>
    <m/>
    <x v="1"/>
  </r>
  <r>
    <n v="28"/>
    <s v="H4_GR_674_Generar EEFF separados (8000001319)"/>
    <x v="7"/>
    <n v="674"/>
    <s v="Gustavo Marques Cussioli  (244)"/>
    <s v="DAMARIS BIVIANA MURCIA SABOYA (103)"/>
    <s v="20,95"/>
    <s v="Configuración"/>
    <x v="1"/>
    <s v="Por Confirmar "/>
    <s v="Se requiere para la salida en producción "/>
    <x v="1"/>
  </r>
  <r>
    <n v="29"/>
    <s v="H2_GR_1090_GAAP Utilidades no realizadas (8000001317)"/>
    <x v="7"/>
    <s v="1090"/>
    <s v="Nicolas Sarmiento (218)"/>
    <s v="DAMARIS BIVIANA MURCIA SABOYA (103)"/>
    <s v="20,96"/>
    <s v="Configuración"/>
    <x v="1"/>
    <m/>
    <s v="no tiene solución en SAP. Ya Mile y Pedro saben esto pero estamos esperando que se resuelva el hallazgo del escenario de arrendamiento financiero que está de lado de Carlos Martins para hacer una reunión e informarle a EPM. Porque estos dos escenarios están dentro del mismo GAP_x000a_11/07/2025: Mile y Pedro lo validan "/>
    <x v="1"/>
  </r>
  <r>
    <n v="30"/>
    <s v="H2_GR_1094_Eliminación Inversión y patri (8000001309)"/>
    <x v="7"/>
    <s v="1094"/>
    <s v="Nicolas Sarmiento (218)"/>
    <s v="DAMARIS BIVIANA MURCIA SABOYA (103)"/>
    <s v="20,97"/>
    <s v="Configuración"/>
    <x v="2"/>
    <d v="2025-07-17T00:00:00"/>
    <s v="Devolución"/>
    <x v="1"/>
  </r>
  <r>
    <n v="31"/>
    <s v="H2_GR_1101_GAAP Arrendamiento Fro arrend (8000001304)"/>
    <x v="7"/>
    <s v="1101"/>
    <s v="Carlos Martins de Lima (778)"/>
    <s v="DAMARIS BIVIANA MURCIA SABOYA (103)"/>
    <s v="20,99"/>
    <s v="Configuración"/>
    <x v="1"/>
    <m/>
    <s v="No es hallazgo indican que es por GR, Data Collection pero no, no es la herramienta para eliminaciones. Sin embargo, existe un hallazgo (el que tiene Carlos) que sí trata las eliminaciones."/>
    <x v="1"/>
  </r>
  <r>
    <n v="32"/>
    <s v="H1_GR_1300_Conversion Moneda 126000 (8000001300)"/>
    <x v="7"/>
    <s v="1300"/>
    <s v="Nicolas Sarmiento (218)"/>
    <s v="DAMARIS BIVIANA MURCIA SABOYA (103)"/>
    <s v="21,00"/>
    <s v="Configuración"/>
    <x v="2"/>
    <d v="2025-07-30T00:00:00"/>
    <m/>
    <x v="1"/>
  </r>
  <r>
    <n v="33"/>
    <s v="H1_FM_758 Controller (8000001296)"/>
    <x v="10"/>
    <s v="758 "/>
    <s v="Jenny Carolina Suarez (101)"/>
    <s v="MISAEL ENRIQUE ARAUJO DIAZ (701)"/>
    <s v="21,49"/>
    <s v="Desarrollo"/>
    <x v="1"/>
    <m/>
    <s v="11/07/2025: Pendiente por fecha equipo tecnico "/>
    <x v="1"/>
  </r>
  <r>
    <n v="34"/>
    <s v="H3_AA_668_ Liberación de reserva fiscal (8000001281)"/>
    <x v="4"/>
    <n v="668"/>
    <s v="Oscar Mauricio Parada (49)"/>
    <s v="LEIDY FABIOLA CARDENAS SUAREZ (188)"/>
    <s v="21,62"/>
    <s v="Desarrollo"/>
    <x v="1"/>
    <d v="2025-07-29T00:00:00"/>
    <m/>
    <x v="1"/>
  </r>
  <r>
    <n v="35"/>
    <s v="H0_TX_1248_Errorcargamanualformato1001 (8000001272)"/>
    <x v="12"/>
    <s v="1248"/>
    <s v="Raphael Gustavo Gimenes Trivaleti (219)"/>
    <s v="ELIZABETH MARIA HERNANDEZ RUEDA (767)"/>
    <s v="21,63"/>
    <s v="Desarrollo"/>
    <x v="1"/>
    <d v="2025-08-08T00:00:00"/>
    <s v="14/07/2025: No es CC, se realizaran pruebas con usuarios._x000a_Revisión equipo Abap-Raphael Gimenes"/>
    <x v="1"/>
  </r>
  <r>
    <n v="36"/>
    <s v="H0_FM_1231_Ejec Gast GT (8000001260)"/>
    <x v="10"/>
    <s v="1231"/>
    <s v="Lina María Rodríguez Bailón (171)"/>
    <s v="MISAEL ENRIQUE ARAUJO DIAZ (701)"/>
    <s v="21,74"/>
    <s v="Desarrollo"/>
    <x v="1"/>
    <s v="Por Confirmar "/>
    <s v="11/07/2025: Exigir Matriz _x000a_14/07/2025: El equipo tecnico entrega el 16 de julio _x000a_18/07/2025: El equipo tecnico entrego el 17 de julio, en pruebas de Lina"/>
    <x v="1"/>
  </r>
  <r>
    <n v="37"/>
    <s v="H8_TX_630_F5252 Configuración_generación (8000001247)"/>
    <x v="12"/>
    <s v="630_"/>
    <s v="Ana Maria Brito Llerena (151)"/>
    <s v="LINA MARIA SANCHEZ ESCOBAR (771)"/>
    <s v="22,83"/>
    <s v="Desarrollo"/>
    <x v="1"/>
    <s v="Escalado a SAP 775798/2025"/>
    <s v="28/07/2025: Se escalo a SAP en espera de respuesta Caso 775798/2025_x000a_Revisión eqipo Abap"/>
    <x v="1"/>
  </r>
  <r>
    <n v="38"/>
    <s v="H0_TX_Comparativo por cuentas ICA (8000001596)"/>
    <x v="12"/>
    <s v="Nuevo"/>
    <s v="Diana Carolina Sanchez Aguirre (165)"/>
    <s v="LEIDY FABIOLA CARDENAS SUAREZ (188)"/>
    <s v="5,87"/>
    <n v="0"/>
    <x v="1"/>
    <m/>
    <s v="23/07/2025: Nuevo, a la espera de asignación ABAP._x000a_28/07/2025: Equipo tecnico regresa para funcional para su pruebas ."/>
    <x v="5"/>
  </r>
  <r>
    <n v="39"/>
    <s v="H0_TX_Comparativo por impuestos ICA (8000001594)"/>
    <x v="12"/>
    <s v="Nuevo"/>
    <s v="Diana Carolina Sanchez Aguirre (165)"/>
    <s v="LEIDY FABIOLA CARDENAS SUAREZ (188)"/>
    <s v="5,87"/>
    <n v="0"/>
    <x v="1"/>
    <m/>
    <s v="23/07/2025: Nuevo, a la espera de asignación ABAP._x000a_28/07/2025: Equipo tecnico regresa para funcional para su pruebas ."/>
    <x v="5"/>
  </r>
  <r>
    <n v="40"/>
    <s v="H0_TR_ERROR TRASLADO COMPENSACIÓN (8000001582)"/>
    <x v="2"/>
    <s v="Nuevo"/>
    <s v="Nurky Castro (46)"/>
    <s v="ANGELA PATRICIA PERDOMO (175)"/>
    <s v="6,47"/>
    <s v="Desarrollo"/>
    <x v="1"/>
    <d v="2025-07-31T00:00:00"/>
    <m/>
    <x v="1"/>
  </r>
  <r>
    <n v="41"/>
    <s v="H1_TR_ERROR ESTADO FACTURA COMPENSA PARC (8000001580)"/>
    <x v="2"/>
    <s v="Nuevo"/>
    <s v="Nurky Castro (46)"/>
    <s v="ANGELA PATRICIA PERDOMO (175)"/>
    <s v="6,48"/>
    <s v="Desarrollo"/>
    <x v="1"/>
    <d v="2025-08-06T00:00:00"/>
    <m/>
    <x v="1"/>
  </r>
  <r>
    <n v="42"/>
    <s v="H0_TX_1301_IVA Incorrecto (8000001241)"/>
    <x v="12"/>
    <s v="1301"/>
    <s v="Juan Pablo Sanchez Martinez (125)"/>
    <s v="LINA MARIA SANCHEZ ESCOBAR (771)"/>
    <s v="24,60"/>
    <s v="Desarrollo"/>
    <x v="1"/>
    <m/>
    <s v="18/07/2025: Se devuelve por falta de envio de lista de escenarios_x000a_7/21/2025: El equipo de EPM anexa, el escenario de prueba "/>
    <x v="5"/>
  </r>
  <r>
    <n v="43"/>
    <s v="H1_TX_1234_F1001 Valor retenciones (8000001235)"/>
    <x v="12"/>
    <s v="1234"/>
    <s v="Ana Maria Brito Llerena (151)"/>
    <s v="LINA MARIA SANCHEZ ESCOBAR (771)"/>
    <s v="24,61"/>
    <s v="Desarrollo"/>
    <x v="1"/>
    <d v="2025-08-05T00:00:00"/>
    <s v="18/07/2025:  Escalado a SAP, contestaron pero la respuesta no concuerta con lo esperado, se documenta nuevamente para contestarles_x000a_Revisión eqipo Abap-Raphael Gimenes"/>
    <x v="1"/>
  </r>
  <r>
    <n v="44"/>
    <s v="H0_TX_1235_F1001 Errores XML (8000001237)"/>
    <x v="12"/>
    <s v="1235"/>
    <s v="Raphael Gustavo Gimenes Trivaleti (219)"/>
    <s v="LINA MARIA SANCHEZ ESCOBAR (771)"/>
    <s v="24,61"/>
    <s v="Desarrollo"/>
    <x v="1"/>
    <d v="2025-08-15T00:00:00"/>
    <s v="28/07/2025: Este me lo entrego el abap para pruebas pero no esta bien, el abap es Raphael Gimenes._x000a_18/07/2025: Se devolvio a validaciòn abap, reviso nuevamente con Raphael el dia lunes, espero mas tardar el martes dejarlo propuesta solucion_x000a_11/07/2025: El equipo Tecnico entregara el 17 de Julio "/>
    <x v="1"/>
  </r>
  <r>
    <n v="45"/>
    <s v="H1_TX_1272_No despliega información (8000001239)"/>
    <x v="12"/>
    <s v="1272"/>
    <s v="Alvaro Arturo Cortes Barreto (92)"/>
    <s v="LINA MARIA SANCHEZ ESCOBAR (771)"/>
    <s v="24,60"/>
    <s v="Desarrollo"/>
    <x v="1"/>
    <m/>
    <s v="7/28/2025: Se transfiere equipo Abap Alvaro Cortes_x000a_7/29/2025: Equipo tecnico en revision para dar fecha de entrega "/>
    <x v="1"/>
  </r>
  <r>
    <n v="46"/>
    <s v="H0_TX_1208_F1001 Valores duplicados (8000001228)"/>
    <x v="12"/>
    <s v="1208"/>
    <s v="Ana Maria Brito Llerena (151)"/>
    <s v="LINA MARIA SANCHEZ ESCOBAR (771)"/>
    <s v="24,62"/>
    <s v="Desarrollo"/>
    <x v="1"/>
    <s v="Escalado a SAP 614441/2025"/>
    <s v="Escalado a SAP 614441/2025_x000a_23/07/2025:Pendiente de lado de SA"/>
    <x v="1"/>
  </r>
  <r>
    <n v="47"/>
    <s v="H0_TX_1211_F1005 Sin columna de iva (8000001212)"/>
    <x v="12"/>
    <s v="1211"/>
    <s v="Ana Maria Brito Llerena (151)"/>
    <s v="ELIZABETH MARIA HERNANDEZ RUEDA (767)"/>
    <s v="24,65"/>
    <s v="Desarrollo"/>
    <x v="1"/>
    <m/>
    <m/>
    <x v="1"/>
  </r>
  <r>
    <n v="48"/>
    <s v="H3_FM_633_ Consumo Pptal del Disponible (8000001211)"/>
    <x v="10"/>
    <n v="633"/>
    <s v="ANDRES FELIPE ESCOBAR CORREA (260)"/>
    <s v="ANDRES FELIPE ESCOBAR CORREA (260)"/>
    <s v="24,66"/>
    <s v="Desarrollo"/>
    <x v="2"/>
    <s v="Escalado a SAP "/>
    <s v="22/07/2025: Se escala de nuevo a SAP_x000a_18/07/2025: Se tendra un reunion entre Mile, Pedro, Leidy y Marilyn para las alternativas de solución _x000a_11/07/2025: Exigir Matriz.  Escalado con nota a SAP  Case 653012/2025"/>
    <x v="2"/>
  </r>
  <r>
    <n v="49"/>
    <s v="H9_FM_403_Error Pptal del IVA en Ver Fac (8000001206)"/>
    <x v="10"/>
    <n v="403"/>
    <s v="ANDRES FELIPE ESCOBAR CORREA (260)"/>
    <s v="ANDRES FELIPE ESCOBAR CORREA (260)"/>
    <s v="24,68"/>
    <s v="Desarrollo"/>
    <x v="2"/>
    <m/>
    <s v="11/07/2025: Exigir Matriz "/>
    <x v="2"/>
  </r>
  <r>
    <n v="50"/>
    <s v="H0_EPM_TR_BOFA CREACION PLATILLA (8000001559)"/>
    <x v="2"/>
    <s v="Nuevo"/>
    <s v="Manuel Escalante (131)"/>
    <s v="MANUEL HERNANDO SANTA JARA (132)"/>
    <s v="6,88"/>
    <n v="0"/>
    <x v="0"/>
    <m/>
    <s v="7/21/2025: Se incia documentación CC"/>
    <x v="1"/>
  </r>
  <r>
    <n v="51"/>
    <s v="H0_FM_R-FI-010 _Diferencia saldo bancos (8000001556)"/>
    <x v="10"/>
    <s v="Nuevo"/>
    <s v="Lina María Rodríguez Bailón (171)"/>
    <s v="MISAEL ENRIQUE ARAUJO DIAZ (701)"/>
    <s v="6,89"/>
    <s v="Desarrollo"/>
    <x v="1"/>
    <m/>
    <s v="A nombre de Lina "/>
    <x v="5"/>
  </r>
  <r>
    <n v="52"/>
    <s v="H0_TX_Carga Manual (8000001541)"/>
    <x v="12"/>
    <s v="Nuevo"/>
    <s v="Raphael Gustavo Gimenes Trivaleti (219)"/>
    <s v="LINA MARIA SANCHEZ ESCOBAR (771)"/>
    <s v="8,58"/>
    <s v="Desarrollo"/>
    <x v="1"/>
    <m/>
    <s v="23/07/2025:  En reviciòn tecnica se toma de regreso Vacaciones , se habla con funcional Ana Brito"/>
    <x v="5"/>
  </r>
  <r>
    <n v="53"/>
    <s v="H0_AA_Genera_error_con_datos_opcionales (8000001535)"/>
    <x v="4"/>
    <s v="Nuevo"/>
    <s v="Oscar Mauricio Parada (49)"/>
    <s v="SEBASTIAN GALLEGO VILLEGAS (147)"/>
    <s v="10,60"/>
    <s v="Desarrollo"/>
    <x v="0"/>
    <m/>
    <m/>
    <x v="1"/>
  </r>
  <r>
    <n v="54"/>
    <s v="H0_AA_Error carga con datos que existen (8000001533)"/>
    <x v="4"/>
    <s v="Nuevo"/>
    <s v="Oscar Mauricio Parada (49)"/>
    <s v="SEBASTIAN GALLEGO VILLEGAS (147)"/>
    <s v="10,61"/>
    <s v="Desarrollo"/>
    <x v="0"/>
    <m/>
    <m/>
    <x v="1"/>
  </r>
  <r>
    <n v="55"/>
    <s v="H0_AA_Límite_procesamiento_10mil_registr (8000001529)"/>
    <x v="4"/>
    <s v="Nuevo"/>
    <s v="Oscar Mauricio Parada (49)"/>
    <s v="SEBASTIAN GALLEGO VILLEGAS (147)"/>
    <s v="10,61"/>
    <s v="Desarrollo"/>
    <x v="0"/>
    <m/>
    <m/>
    <x v="1"/>
  </r>
  <r>
    <n v="56"/>
    <s v="H1_TR/BCM_FORMATO ARCHIVO TXT BANCO ITAU (8000001527)"/>
    <x v="13"/>
    <s v="Nuevo"/>
    <s v="Manuel Escalante (131)"/>
    <s v="ANGELA PATRICIA PERDOMO (175)"/>
    <s v="10,69"/>
    <s v="Configuración"/>
    <x v="1"/>
    <d v="2025-07-23T00:00:00"/>
    <m/>
    <x v="1"/>
  </r>
  <r>
    <n v="57"/>
    <s v="H2_TR/BCM_FORMATO ARCHIVO TXT BANCOLOMBI (8000001514)"/>
    <x v="13"/>
    <s v="Nuevo"/>
    <s v="Manuel Escalante (131)"/>
    <s v="ANGELA PATRICIA PERDOMO (175)"/>
    <s v="10,88"/>
    <s v="Configuración"/>
    <x v="1"/>
    <d v="2025-07-31T00:00:00"/>
    <s v="7/21/2025: Debe avanzar con el ajuste para para poder definir la fecha y evaluar ayuda abap."/>
    <x v="1"/>
  </r>
  <r>
    <n v="58"/>
    <s v="H1_TR/BCM_FORMATO ARCHIVO TXT BBVA (8000001516)"/>
    <x v="13"/>
    <s v="Nuevo"/>
    <s v="Manuel Escalante (131)"/>
    <s v="ANGELA PATRICIA PERDOMO (175)"/>
    <s v="10,88"/>
    <s v="Configuración"/>
    <x v="1"/>
    <m/>
    <s v="7/21/2025: Debe ser evaluado como control de cambios"/>
    <x v="1"/>
  </r>
  <r>
    <n v="59"/>
    <s v="H0_GL_Reclasif Pago Anticipado (8000001512)"/>
    <x v="9"/>
    <s v="Nuevo"/>
    <s v="John Alejandro Rodriguez (41)"/>
    <s v="GLORIA ELENA AGUDELO ARENAS (181)"/>
    <s v="10,97"/>
    <s v="Control de cambio"/>
    <x v="0"/>
    <d v="2025-08-01T00:00:00"/>
    <s v="24/07/2025: Equipo Tecnico regresa el incidente a Funcional para su completa revisiòn (Posible control de cambio)"/>
    <x v="1"/>
  </r>
  <r>
    <n v="60"/>
    <s v="H1_TR/BCM_FORMATO ARCHIVO TXT BOGOTÁ (8000001510)"/>
    <x v="13"/>
    <s v="Nuevo"/>
    <s v="Manuel Escalante (131)"/>
    <s v="ANGELA PATRICIA PERDOMO (175)"/>
    <s v="11,62"/>
    <s v="Configuración"/>
    <x v="1"/>
    <d v="2025-07-31T00:00:00"/>
    <s v="7/21/2025: Debe avanzar con el ajuste para para poder definir la fecha y  evaluar ayuda abap."/>
    <x v="1"/>
  </r>
  <r>
    <n v="61"/>
    <s v="H0_AP_Error en cargue de FI (8000001501)"/>
    <x v="1"/>
    <s v="Nuevo"/>
    <s v="Alberto Rivera Betancourt (822)"/>
    <s v="SINDY CRISTINA ALZATE ARIAS (201)"/>
    <s v="11,73"/>
    <s v="Desarrollo"/>
    <x v="1"/>
    <m/>
    <m/>
    <x v="1"/>
  </r>
  <r>
    <n v="62"/>
    <s v="H0_AR_ErrorcargaCXC_ (8000001624)"/>
    <x v="14"/>
    <s v="Nuevo"/>
    <s v="Juan Manuel Ossa Botero (40)"/>
    <s v="ADRIANA CAROLINA PEREZ ORTIZ (327)"/>
    <s v="1,93"/>
    <s v="Configuración"/>
    <x v="0"/>
    <m/>
    <m/>
    <x v="1"/>
  </r>
  <r>
    <n v="63"/>
    <s v="H0_GR_Conversión Mone Comprobantes (8000001632)"/>
    <x v="7"/>
    <s v="Nuevo"/>
    <s v="Nicolas Sarmiento (218)"/>
    <s v="DAMARIS BIVIANA MURCIA SABOYA (103)"/>
    <s v="0,94"/>
    <s v="Configuración"/>
    <x v="0"/>
    <m/>
    <s v="28/07/2025: Pendiente revisión prioridad EF extraccion de saldos SC180 y Porcentaje de participación"/>
    <x v="1"/>
  </r>
  <r>
    <n v="64"/>
    <s v="H0_TR/BCM_FORMATO ARCHIVO TXT SUDAMERIS (8000001616)"/>
    <x v="5"/>
    <s v="Nuevo"/>
    <s v="Manuel Escalante (131)"/>
    <s v="ANGELA PATRICIA PERDOMO (175)"/>
    <s v="2,94"/>
    <s v="Configuración"/>
    <x v="1"/>
    <m/>
    <m/>
    <x v="1"/>
  </r>
  <r>
    <n v="65"/>
    <s v="H0_TR/BCM_PROCESAMIENTO RESP BANCOLOMBIA (8000001618)"/>
    <x v="5"/>
    <s v="Nuevo"/>
    <s v="Manuel Escalante (131)"/>
    <s v="ANGELA PATRICIA PERDOMO (175)"/>
    <s v="2,47"/>
    <s v="Configuración"/>
    <x v="1"/>
    <m/>
    <m/>
    <x v="1"/>
  </r>
  <r>
    <n v="66"/>
    <s v="H0_TR/BCM_PROCESAMIENTO RESP BBVA (8000001614)"/>
    <x v="5"/>
    <s v="Nuevo"/>
    <s v="Manuel Escalante (131)"/>
    <s v="ANGELA PATRICIA PERDOMO (175)"/>
    <s v="3,76"/>
    <s v="Configuración"/>
    <x v="1"/>
    <m/>
    <m/>
    <x v="1"/>
  </r>
  <r>
    <n v="67"/>
    <s v="H0_TR/BCM_PROCESAMIENTO RESP BOGOTÁ (8000001622)"/>
    <x v="5"/>
    <s v="Nuevo"/>
    <s v="Manuel Escalante (131)"/>
    <s v="ANGELA PATRICIA PERDOMO (175)"/>
    <s v="2,42"/>
    <s v="Configuración"/>
    <x v="1"/>
    <m/>
    <m/>
    <x v="1"/>
  </r>
  <r>
    <n v="68"/>
    <s v="H0_TX_736_Faltan campos reporte IVA AFRP (8000001630)"/>
    <x v="12"/>
    <s v="Nuevo"/>
    <s v="Ana Maria Brito Llerena (151)"/>
    <s v="LINA MARIA SANCHEZ ESCOBAR (771)"/>
    <s v="1,67"/>
    <s v="Control de cambio"/>
    <x v="1"/>
    <m/>
    <s v="Creado el 27/07/2025"/>
    <x v="1"/>
  </r>
  <r>
    <n v="69"/>
    <s v="H0_TX_Hoja 2 F-350 Sin información (8000001634)"/>
    <x v="12"/>
    <s v="Nuevo"/>
    <s v="Elkin Dario Fernandez Camacho (166)"/>
    <s v="LEIDY FABIOLA CARDENAS SUAREZ (188)"/>
    <s v="0,73"/>
    <n v="0"/>
    <x v="1"/>
    <m/>
    <m/>
    <x v="6"/>
  </r>
  <r>
    <n v="70"/>
    <s v="H0_TX_Renglón 133 F-350 Sin información (8000001636)"/>
    <x v="12"/>
    <s v="Nuevo"/>
    <s v="LEIDY FABIOLA CARDENAS SUAREZ (188)"/>
    <s v="LEIDY FABIOLA CARDENAS SUAREZ (188)"/>
    <s v="0,72"/>
    <n v="0"/>
    <x v="2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  <r>
    <m/>
    <m/>
    <x v="15"/>
    <m/>
    <m/>
    <m/>
    <m/>
    <m/>
    <x v="4"/>
    <m/>
    <m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1"/>
    <s v="H0-MM-Modif Pedido mensaje salida (8000001608)"/>
    <x v="0"/>
    <s v="Nuevo"/>
    <s v="Wilmar Vargas Preciado (174)"/>
    <s v="MONICA PATRICIA GIRALDO PEREZ (192)"/>
    <s v="4,54"/>
    <n v="0"/>
    <x v="0"/>
    <d v="2025-04-08T00:00:00"/>
    <m/>
    <s v="NO FINANCIERO"/>
    <x v="0"/>
  </r>
  <r>
    <n v="2"/>
    <s v="H0_AP_Error en documento soporte (8000001605)"/>
    <x v="1"/>
    <s v="Nuevo"/>
    <s v="Alberto Rivera Betancourt (822)"/>
    <s v="SINDY CRISTINA ALZATE ARIAS (201)"/>
    <s v="4,65"/>
    <s v="Desarrollo"/>
    <x v="0"/>
    <m/>
    <m/>
    <s v="FINANCIERO"/>
    <x v="0"/>
  </r>
  <r>
    <n v="3"/>
    <s v="H0_TR_ERROR MONEDA E IMPORTE ME (8000001603)"/>
    <x v="2"/>
    <s v="Nuevo"/>
    <s v="Nurky Castro (46)"/>
    <s v="ANGELA PATRICIA PERDOMO (175)"/>
    <s v="5,65"/>
    <s v="Desarrollo"/>
    <x v="1"/>
    <m/>
    <m/>
    <s v="FINANCIERO"/>
    <x v="1"/>
  </r>
  <r>
    <n v="4"/>
    <s v="H2_ RE_ EPM ERROR ANULACIÓN AJUSTE (8000001471)"/>
    <x v="3"/>
    <s v="Nuevo"/>
    <s v="Pedro Emilio Jimenez Pabon (139)"/>
    <s v="NATALIA EUGENIA RAMIREZ MOLINA (193)"/>
    <s v="13,91"/>
    <s v="Desarrollo"/>
    <x v="1"/>
    <m/>
    <m/>
    <s v="FINANCIERO "/>
    <x v="0"/>
  </r>
  <r>
    <n v="5"/>
    <s v="H0_ RE_ CONTABILIDA FINANCIERA AGN (8000001462)"/>
    <x v="3"/>
    <s v="Nuevo"/>
    <s v="NATALIA EUGENIA RAMIREZ MOLINA (193)"/>
    <s v="NATALIA EUGENIA RAMIREZ MOLINA (193)"/>
    <s v="14,62"/>
    <s v="Roles y perfiles"/>
    <x v="2"/>
    <m/>
    <s v="22/07/2025: Equipo tecnico esta revisando con el funcional la parametrizacion  para dar fecha del ajuste _x000a_28/07/2025: Equipo tecnico regresa para funcional para su revisiòn."/>
    <s v="ET"/>
    <x v="1"/>
  </r>
  <r>
    <n v="6"/>
    <s v="H0_AA_Lentitud carga de datos en MC (8000001452)"/>
    <x v="4"/>
    <s v="Nuevo"/>
    <s v="Natalia Manzaneda Palacios (258)"/>
    <s v="ANA MILENA IBARBO GUTIERREZ (320)"/>
    <s v="14,73"/>
    <n v="0"/>
    <x v="1"/>
    <m/>
    <m/>
    <s v="NO FINANCIERO"/>
    <x v="1"/>
  </r>
  <r>
    <n v="7"/>
    <s v="H0_MM_SC120  EROR VISTA WORZONE (8000001414)"/>
    <x v="0"/>
    <s v="Nuevo"/>
    <s v="PAOLA ANDREA JIMENEZ RODRIGUEZ (492)"/>
    <s v="PAOLA ANDREA JIMENEZ RODRIGUEZ (492)"/>
    <s v="18,96"/>
    <n v="0"/>
    <x v="3"/>
    <m/>
    <m/>
    <s v="NO FINANCIERO "/>
    <x v="1"/>
  </r>
  <r>
    <n v="8"/>
    <s v="H0_AP_1236_ERROR ANULAR FRA MIRO (8000001412)"/>
    <x v="1"/>
    <s v="1236"/>
    <s v="Wilmar Vargas Preciado (174)"/>
    <s v="SINDY CRISTINA ALZATE ARIAS (201)"/>
    <s v="18,98"/>
    <s v="Configuración"/>
    <x v="1"/>
    <s v="29-07-2025"/>
    <m/>
    <s v="NO FINANCIERO"/>
    <x v="0"/>
  </r>
  <r>
    <n v="9"/>
    <s v="H0_EPM_TR_ErrorPagosDavivienda (8000001408)"/>
    <x v="5"/>
    <n v="1408"/>
    <s v="MANUEL HERNANDO SANTA JARA (132)"/>
    <s v="MANUEL HERNANDO SANTA JARA (132)"/>
    <s v="19,60"/>
    <s v="Desarrollo"/>
    <x v="3"/>
    <m/>
    <s v="Control de cambio"/>
    <s v="FINANCIERO "/>
    <x v="1"/>
  </r>
  <r>
    <n v="10"/>
    <s v="H0_EWM_EWM_SC048_ERROR HU AUTOMATICA (8000001406)"/>
    <x v="6"/>
    <s v="Nuevo"/>
    <s v="GUSTAVO ADOLFO GARCIA TRUJILLO (393)"/>
    <s v="GUSTAVO ADOLFO GARCIA TRUJILLO (393)"/>
    <s v="19,61"/>
    <s v="Funcionales"/>
    <x v="2"/>
    <m/>
    <m/>
    <s v="NO FINANCIERO "/>
    <x v="1"/>
  </r>
  <r>
    <n v="11"/>
    <s v="H2_GR_1167_Validar extracción saldos FI- (8000001394)"/>
    <x v="7"/>
    <s v="1167"/>
    <s v="Nicolas Sarmiento (218)"/>
    <s v="DAMARIS BIVIANA MURCIA SABOYA (103)"/>
    <s v="19,70"/>
    <s v="Configuración"/>
    <x v="3"/>
    <m/>
    <s v="28/07/2025: Pendiente revisión prioridad EF extraccion de saldos SC180 y Porcentaje de participación"/>
    <s v="FINANCIERO"/>
    <x v="1"/>
  </r>
  <r>
    <n v="12"/>
    <s v="H0_PAPM_1294_Capturadecontroladores (8000001391)"/>
    <x v="8"/>
    <n v="1294"/>
    <s v="Raphael Gustavo Gimenes Trivaleti (219)"/>
    <s v="JUAN DAVID VARGAS RESTREPO (127)"/>
    <s v="19,73"/>
    <n v="0"/>
    <x v="0"/>
    <m/>
    <s v="Abap:Danilo en tratamiento con Consultor Fiori, Entrega 28 de Julio para pruebas funcionales _x000a_7/29/2025: Equipo tecnico entrega para pruebas dia Lunes 28 "/>
    <s v="TECNICO"/>
    <x v="1"/>
  </r>
  <r>
    <n v="13"/>
    <s v="H0_MM_1258_Carga registros info Proveed (8000001382)"/>
    <x v="0"/>
    <s v="Nuevo"/>
    <s v="GUSTAVO ESPINOSA (646)"/>
    <s v="LUIS GERMAN PINEDA ARCILA (191)"/>
    <s v="19,85"/>
    <s v="Maestros"/>
    <x v="1"/>
    <m/>
    <s v="28/07/2025: Se escala Nota -  884403/2025_x000a_CEDR: Despues de hacer varios simulacro se crea nota ya que el proceso se realiza con la herramienta de migracion de datos cockpik estandar de SAP"/>
    <s v="NO FINANCIERO"/>
    <x v="0"/>
  </r>
  <r>
    <n v="14"/>
    <s v="H0_TR_BCM_ErrorPatronesCarga (8000001378)"/>
    <x v="2"/>
    <s v="Nuevo"/>
    <s v="CAROLINA ECHEVERRI SANTA (783)"/>
    <s v="CAROLINA ECHEVERRI SANTA (783)"/>
    <s v="19,86"/>
    <s v="Configuración"/>
    <x v="3"/>
    <d v="2025-07-16T00:00:00"/>
    <m/>
    <s v="FINANCIERO "/>
    <x v="1"/>
  </r>
  <r>
    <n v="15"/>
    <s v="H1_GL_1290_VALIDACION PPTAL NOMINA ERROR (8000001375)"/>
    <x v="9"/>
    <n v="724"/>
    <s v="SANDRA JANET TAMAYO BEDOYA (199)"/>
    <s v="SANDRA JANET TAMAYO BEDOYA (199)"/>
    <s v="19,96"/>
    <s v="Desarrollo"/>
    <x v="3"/>
    <d v="2025-07-09T00:00:00"/>
    <m/>
    <s v="FINANCIERO "/>
    <x v="1"/>
  </r>
  <r>
    <n v="16"/>
    <s v="H1_GL_1263_Error_recepcion_parcial (8000001373)"/>
    <x v="9"/>
    <s v="1263"/>
    <s v="John Alejandro Rodriguez (41)"/>
    <s v="GLORIA ELENA AGUDELO ARENAS (181)"/>
    <s v="19,98"/>
    <s v="Desarrollo"/>
    <x v="1"/>
    <d v="2025-08-01T00:00:00"/>
    <s v="24/07/2025: Equipo tecnico ya entrego a pruebas funcionales "/>
    <s v="FINANCIERO"/>
    <x v="0"/>
  </r>
  <r>
    <n v="17"/>
    <s v="H1_RE_ ERROR CONTABILIDA FINANCIERA PPTO (8000001368)"/>
    <x v="3"/>
    <s v="Nuevo"/>
    <s v="NATALIA EUGENIA RAMIREZ MOLINA (193)"/>
    <s v="NATALIA EUGENIA RAMIREZ MOLINA (193)"/>
    <s v="20,59"/>
    <s v="Configuración"/>
    <x v="3"/>
    <m/>
    <s v="18/07/2025: Se tansfierea Abap Raphael Gimenes, es una regla de IVA de FM que tiene problemas _x000a_22/07/2025: Equipo tecnico(Danilo) esta revisando con el funcional la parametrizacion para dar fecha del ajuste _x000a_28/07/2025: Equipo tecnico regresa para funcional para su revisiòn."/>
    <s v="ET"/>
    <x v="1"/>
  </r>
  <r>
    <n v="18"/>
    <s v="H0_FM_1303_Error en cumplimiento tarea (8000001361)"/>
    <x v="10"/>
    <s v="1303"/>
    <s v="ANA MILENA CHADID JARAMILLO (697)"/>
    <s v="ANA MILENA CHADID JARAMILLO (697)"/>
    <s v="20,62"/>
    <n v="0"/>
    <x v="3"/>
    <d v="2025-09-07T00:00:00"/>
    <m/>
    <s v="FINANCIERO "/>
    <x v="1"/>
  </r>
  <r>
    <n v="19"/>
    <s v="H0_FI_1308_Mensaje  error no corresponde (8000001356)"/>
    <x v="11"/>
    <s v="1308"/>
    <s v="ANA MILENA CHADID JARAMILLO (697)"/>
    <s v="ANA MILENA CHADID JARAMILLO (697)"/>
    <s v="20,64"/>
    <s v="Legados"/>
    <x v="2"/>
    <m/>
    <m/>
    <s v="FINANCIERO "/>
    <x v="1"/>
  </r>
  <r>
    <n v="20"/>
    <s v="H0_MM_1141_ROLES Y PERFILES (8000001349)"/>
    <x v="0"/>
    <s v="1141"/>
    <s v="GUSTAVO ESPINOSA (646)"/>
    <s v="PAOLA ANDREA JIMENEZ RODRIGUEZ (492)"/>
    <s v="20,75"/>
    <n v="0"/>
    <x v="1"/>
    <m/>
    <s v="28/07/2025: Se escala Nota 885370/2025_x000a_CEDR: Nos encontramos buscando alternativas ya que el objeto de autorizacion no esta siendo efectivo en el rol "/>
    <s v="NO FINANCIERO"/>
    <x v="0"/>
  </r>
  <r>
    <n v="21"/>
    <s v="H5_GR_1192_Eliminación reciproc x segmen (8000001342)"/>
    <x v="7"/>
    <s v="1192"/>
    <s v="Nicolas Sarmiento (218)"/>
    <s v="DAMARIS BIVIANA MURCIA SABOYA (103)"/>
    <s v="20,86"/>
    <s v="Configuración"/>
    <x v="2"/>
    <m/>
    <s v="Devolución"/>
    <s v="FINANCIERO"/>
    <x v="1"/>
  </r>
  <r>
    <n v="22"/>
    <s v="H5_GR_1193_Eliminación reciproc ubic.geo (8000001340)"/>
    <x v="7"/>
    <s v="1193"/>
    <s v="Nicolas Sarmiento (218)"/>
    <s v="DAMARIS BIVIANA MURCIA SABOYA (103)"/>
    <s v="20,87"/>
    <s v="Configuración"/>
    <x v="2"/>
    <m/>
    <s v="Devolución"/>
    <s v="FINANCIERO"/>
    <x v="1"/>
  </r>
  <r>
    <n v="23"/>
    <s v="H1_GR_interés minoritario (8000001331)"/>
    <x v="7"/>
    <s v="Nuevo"/>
    <s v="Nicolas Sarmiento (218)"/>
    <s v="DAMARIS BIVIANA MURCIA SABOYA (103)"/>
    <s v="20,89"/>
    <s v="Configuración"/>
    <x v="2"/>
    <d v="2025-07-11T00:00:00"/>
    <s v="Devolución"/>
    <s v="FINANCIERO"/>
    <x v="1"/>
  </r>
  <r>
    <n v="24"/>
    <s v="H1_GR_interés no contr utilidades ejerci (8000001328)"/>
    <x v="7"/>
    <s v="Nuevo"/>
    <s v="Nicolas Sarmiento (218)"/>
    <s v="DAMARIS BIVIANA MURCIA SABOYA (103)"/>
    <s v="20,89"/>
    <s v="Configuración"/>
    <x v="1"/>
    <d v="2025-07-11T00:00:00"/>
    <s v="Devolución"/>
    <s v="FINANCIERO"/>
    <x v="0"/>
  </r>
  <r>
    <n v="25"/>
    <s v="H1_GR_Eliminacion de dividendos (8000001326)"/>
    <x v="7"/>
    <s v="Nuevo"/>
    <s v="Nicolas Sarmiento (218)"/>
    <s v="DAMARIS BIVIANA MURCIA SABOYA (103)"/>
    <s v="20,90"/>
    <s v="Configuración"/>
    <x v="2"/>
    <d v="2025-07-11T00:00:00"/>
    <s v="Devolución"/>
    <s v="FINANCIERO"/>
    <x v="1"/>
  </r>
  <r>
    <n v="26"/>
    <s v="H5_GR_325_acciones poseídas y % particip (8000001322)"/>
    <x v="7"/>
    <n v="325"/>
    <s v="Nicolas Sarmiento (218)"/>
    <s v="DAMARIS BIVIANA MURCIA SABOYA (103)"/>
    <s v="20,94"/>
    <s v="Configuración"/>
    <x v="1"/>
    <m/>
    <s v="25/07/2025: Devolución _x000a_16/07/2025: EPM esta validandado EF y darnos sus comentarios para iicar con las firmas_x000a_11/07/2025: Este es el del desarrollo, ABAP Documento de EF aprobado para desarrollo"/>
    <s v="FINANCIERO"/>
    <x v="1"/>
  </r>
  <r>
    <n v="27"/>
    <s v="H1_AP_1198_Errores inf Portal Proveedore (8000001321)"/>
    <x v="1"/>
    <s v="1198"/>
    <s v="Alberto Rivera Betancourt (822)"/>
    <s v="PAULA ANDREA MERCADO FLOREZ (776)"/>
    <s v="20,95"/>
    <s v="Desarrollo"/>
    <x v="1"/>
    <d v="2025-07-15T00:00:00"/>
    <m/>
    <s v="FINANCIERO"/>
    <x v="0"/>
  </r>
  <r>
    <n v="28"/>
    <s v="H4_GR_674_Generar EEFF separados (8000001319)"/>
    <x v="7"/>
    <n v="674"/>
    <s v="Gustavo Marques Cussioli  (244)"/>
    <s v="DAMARIS BIVIANA MURCIA SABOYA (103)"/>
    <s v="20,95"/>
    <s v="Configuración"/>
    <x v="1"/>
    <s v="Por Confirmar "/>
    <s v="Se requiere para la salida en producción "/>
    <s v="FINANCIERO"/>
    <x v="0"/>
  </r>
  <r>
    <n v="29"/>
    <s v="H2_GR_1090_GAAP Utilidades no realizadas (8000001317)"/>
    <x v="7"/>
    <s v="1090"/>
    <s v="Nicolas Sarmiento (218)"/>
    <s v="DAMARIS BIVIANA MURCIA SABOYA (103)"/>
    <s v="20,96"/>
    <s v="Configuración"/>
    <x v="1"/>
    <m/>
    <s v="no tiene solución en SAP. Ya Mile y Pedro saben esto pero estamos esperando que se resuelva el hallazgo del escenario de arrendamiento financiero que está de lado de Carlos Martins para hacer una reunión e informarle a EPM. Porque estos dos escenarios están dentro del mismo GAP_x000a_11/07/2025: Mile y Pedro lo validan "/>
    <s v="FINANCIERO"/>
    <x v="0"/>
  </r>
  <r>
    <n v="30"/>
    <s v="H2_GR_1094_Eliminación Inversión y patri (8000001309)"/>
    <x v="7"/>
    <s v="1094"/>
    <s v="Nicolas Sarmiento (218)"/>
    <s v="DAMARIS BIVIANA MURCIA SABOYA (103)"/>
    <s v="20,97"/>
    <s v="Configuración"/>
    <x v="2"/>
    <d v="2025-07-17T00:00:00"/>
    <s v="Devolución"/>
    <s v="FINANCIERO"/>
    <x v="1"/>
  </r>
  <r>
    <n v="31"/>
    <s v="H2_GR_1101_GAAP Arrendamiento Fro arrend (8000001304)"/>
    <x v="7"/>
    <s v="1101"/>
    <s v="Carlos Martins de Lima (778)"/>
    <s v="DAMARIS BIVIANA MURCIA SABOYA (103)"/>
    <s v="20,99"/>
    <s v="Configuración"/>
    <x v="1"/>
    <m/>
    <s v="No es hallazgo indican que es por GR, Data Collection pero no, no es la herramienta para eliminaciones. Sin embargo, existe un hallazgo (el que tiene Carlos) que sí trata las eliminaciones."/>
    <s v="FINANCIERO"/>
    <x v="0"/>
  </r>
  <r>
    <n v="32"/>
    <s v="H1_GR_1300_Conversion Moneda 126000 (8000001300)"/>
    <x v="7"/>
    <s v="1300"/>
    <s v="Nicolas Sarmiento (218)"/>
    <s v="DAMARIS BIVIANA MURCIA SABOYA (103)"/>
    <s v="21,00"/>
    <s v="Configuración"/>
    <x v="2"/>
    <d v="2025-07-30T00:00:00"/>
    <m/>
    <s v="FINANCIERO"/>
    <x v="1"/>
  </r>
  <r>
    <n v="33"/>
    <s v="H1_FM_758 Controller (8000001296)"/>
    <x v="10"/>
    <s v="758 "/>
    <s v="Jenny Carolina Suarez (101)"/>
    <s v="MISAEL ENRIQUE ARAUJO DIAZ (701)"/>
    <s v="21,49"/>
    <s v="Desarrollo"/>
    <x v="1"/>
    <m/>
    <s v="11/07/2025: Pendiente por fecha equipo tecnico "/>
    <s v="FINANCIERO"/>
    <x v="0"/>
  </r>
  <r>
    <n v="34"/>
    <s v="H3_AA_668_ Liberación de reserva fiscal (8000001281)"/>
    <x v="4"/>
    <n v="668"/>
    <s v="Oscar Mauricio Parada (49)"/>
    <s v="LEIDY FABIOLA CARDENAS SUAREZ (188)"/>
    <s v="21,62"/>
    <s v="Desarrollo"/>
    <x v="1"/>
    <d v="2025-07-29T00:00:00"/>
    <m/>
    <s v="FINANCIERO"/>
    <x v="0"/>
  </r>
  <r>
    <n v="35"/>
    <s v="H0_TX_1248_Errorcargamanualformato1001 (8000001272)"/>
    <x v="12"/>
    <s v="1248"/>
    <s v="Raphael Gustavo Gimenes Trivaleti (219)"/>
    <s v="ELIZABETH MARIA HERNANDEZ RUEDA (767)"/>
    <s v="21,63"/>
    <s v="Desarrollo"/>
    <x v="1"/>
    <d v="2025-08-08T00:00:00"/>
    <s v="14/07/2025: No es CC, se realizaran pruebas con usuarios._x000a_Revisión equipo Abap-Raphael Gimenes"/>
    <s v="FINANCIERO"/>
    <x v="0"/>
  </r>
  <r>
    <n v="36"/>
    <s v="H0_FM_1231_Ejec Gast GT (8000001260)"/>
    <x v="10"/>
    <s v="1231"/>
    <s v="Lina María Rodríguez Bailón (171)"/>
    <s v="MISAEL ENRIQUE ARAUJO DIAZ (701)"/>
    <s v="21,74"/>
    <s v="Desarrollo"/>
    <x v="1"/>
    <s v="Por Confirmar "/>
    <s v="11/07/2025: Exigir Matriz _x000a_14/07/2025: El equipo tecnico entrega el 16 de julio _x000a_18/07/2025: El equipo tecnico entrego el 17 de julio, en pruebas de Lina"/>
    <s v="FINANCIERO"/>
    <x v="0"/>
  </r>
  <r>
    <n v="37"/>
    <s v="H8_TX_630_F5252 Configuración_generación (8000001247)"/>
    <x v="12"/>
    <s v="630_"/>
    <s v="Ana Maria Brito Llerena (151)"/>
    <s v="LINA MARIA SANCHEZ ESCOBAR (771)"/>
    <s v="22,83"/>
    <s v="Desarrollo"/>
    <x v="1"/>
    <s v="Escalado a SAP 775798/2025"/>
    <s v="28/07/2025: Se escalo a SAP en espera de respuesta Caso 775798/2025_x000a_Revisión eqipo Abap"/>
    <s v="FINANCIERO"/>
    <x v="0"/>
  </r>
  <r>
    <n v="38"/>
    <s v="H0_TX_Comparativo por cuentas ICA (8000001596)"/>
    <x v="12"/>
    <s v="Nuevo"/>
    <s v="Diana Carolina Sanchez Aguirre (165)"/>
    <s v="LEIDY FABIOLA CARDENAS SUAREZ (188)"/>
    <s v="5,87"/>
    <n v="0"/>
    <x v="1"/>
    <m/>
    <s v="23/07/2025: Nuevo, a la espera de asignación ABAP._x000a_28/07/2025: Equipo tecnico regresa para funcional para su pruebas ."/>
    <s v="TECNICO"/>
    <x v="0"/>
  </r>
  <r>
    <n v="39"/>
    <s v="H0_TX_Comparativo por impuestos ICA (8000001594)"/>
    <x v="12"/>
    <s v="Nuevo"/>
    <s v="Diana Carolina Sanchez Aguirre (165)"/>
    <s v="LEIDY FABIOLA CARDENAS SUAREZ (188)"/>
    <s v="5,87"/>
    <n v="0"/>
    <x v="1"/>
    <m/>
    <s v="23/07/2025: Nuevo, a la espera de asignación ABAP._x000a_28/07/2025: Equipo tecnico regresa para funcional para su pruebas ."/>
    <s v="TECNICO"/>
    <x v="0"/>
  </r>
  <r>
    <n v="40"/>
    <s v="H0_TR_ERROR TRASLADO COMPENSACIÓN (8000001582)"/>
    <x v="2"/>
    <s v="Nuevo"/>
    <s v="Nurky Castro (46)"/>
    <s v="ANGELA PATRICIA PERDOMO (175)"/>
    <s v="6,47"/>
    <s v="Desarrollo"/>
    <x v="1"/>
    <d v="2025-07-31T00:00:00"/>
    <m/>
    <s v="FINANCIERO"/>
    <x v="1"/>
  </r>
  <r>
    <n v="41"/>
    <s v="H1_TR_ERROR ESTADO FACTURA COMPENSA PARC (8000001580)"/>
    <x v="2"/>
    <s v="Nuevo"/>
    <s v="Nurky Castro (46)"/>
    <s v="ANGELA PATRICIA PERDOMO (175)"/>
    <s v="6,48"/>
    <s v="Desarrollo"/>
    <x v="1"/>
    <d v="2025-08-06T00:00:00"/>
    <m/>
    <s v="FINANCIERO"/>
    <x v="1"/>
  </r>
  <r>
    <n v="42"/>
    <s v="H0_TX_1301_IVA Incorrecto (8000001241)"/>
    <x v="12"/>
    <s v="1301"/>
    <s v="Juan Pablo Sanchez Martinez (125)"/>
    <s v="LINA MARIA SANCHEZ ESCOBAR (771)"/>
    <s v="24,60"/>
    <s v="Desarrollo"/>
    <x v="1"/>
    <m/>
    <s v="18/07/2025: Se devuelve por falta de envio de lista de escenarios_x000a_7/21/2025: El equipo de EPM anexa, el escenario de prueba "/>
    <s v="TECNICO"/>
    <x v="0"/>
  </r>
  <r>
    <n v="43"/>
    <s v="H1_TX_1234_F1001 Valor retenciones (8000001235)"/>
    <x v="12"/>
    <s v="1234"/>
    <s v="Ana Maria Brito Llerena (151)"/>
    <s v="LINA MARIA SANCHEZ ESCOBAR (771)"/>
    <s v="24,61"/>
    <s v="Desarrollo"/>
    <x v="1"/>
    <d v="2025-08-05T00:00:00"/>
    <s v="18/07/2025:  Escalado a SAP, contestaron pero la respuesta no concuerta con lo esperado, se documenta nuevamente para contestarles_x000a_Revisión eqipo Abap-Raphael Gimenes"/>
    <s v="FINANCIERO"/>
    <x v="0"/>
  </r>
  <r>
    <n v="44"/>
    <s v="H0_TX_1235_F1001 Errores XML (8000001237)"/>
    <x v="12"/>
    <s v="1235"/>
    <s v="Raphael Gustavo Gimenes Trivaleti (219)"/>
    <s v="LINA MARIA SANCHEZ ESCOBAR (771)"/>
    <s v="24,61"/>
    <s v="Desarrollo"/>
    <x v="1"/>
    <d v="2025-08-15T00:00:00"/>
    <s v="28/07/2025: Este me lo entrego el abap para pruebas pero no esta bien, el abap es Raphael Gimenes._x000a_18/07/2025: Se devolvio a validaciòn abap, reviso nuevamente con Raphael el dia lunes, espero mas tardar el martes dejarlo propuesta solucion_x000a_11/07/2025: El equipo Tecnico entregara el 17 de Julio "/>
    <s v="FINANCIERO"/>
    <x v="0"/>
  </r>
  <r>
    <n v="45"/>
    <s v="H1_TX_1272_No despliega información (8000001239)"/>
    <x v="12"/>
    <s v="1272"/>
    <s v="Alvaro Arturo Cortes Barreto (92)"/>
    <s v="LINA MARIA SANCHEZ ESCOBAR (771)"/>
    <s v="24,60"/>
    <s v="Desarrollo"/>
    <x v="1"/>
    <m/>
    <s v="7/28/2025: Se transfiere equipo Abap Alvaro Cortes_x000a_7/29/2025: Equipo tecnico en revision para dar fecha de entrega "/>
    <s v="FINANCIERO"/>
    <x v="0"/>
  </r>
  <r>
    <n v="46"/>
    <s v="H0_TX_1208_F1001 Valores duplicados (8000001228)"/>
    <x v="12"/>
    <s v="1208"/>
    <s v="Ana Maria Brito Llerena (151)"/>
    <s v="LINA MARIA SANCHEZ ESCOBAR (771)"/>
    <s v="24,62"/>
    <s v="Desarrollo"/>
    <x v="1"/>
    <s v="Escalado a SAP 614441/2025"/>
    <s v="Escalado a SAP 614441/2025_x000a_23/07/2025:Pendiente de lado de SA"/>
    <s v="FINANCIERO"/>
    <x v="0"/>
  </r>
  <r>
    <n v="47"/>
    <s v="H0_TX_1211_F1005 Sin columna de iva (8000001212)"/>
    <x v="12"/>
    <s v="1211"/>
    <s v="Ana Maria Brito Llerena (151)"/>
    <s v="ELIZABETH MARIA HERNANDEZ RUEDA (767)"/>
    <s v="24,65"/>
    <s v="Desarrollo"/>
    <x v="1"/>
    <m/>
    <m/>
    <s v="FINANCIERO"/>
    <x v="0"/>
  </r>
  <r>
    <n v="48"/>
    <s v="H3_FM_633_ Consumo Pptal del Disponible (8000001211)"/>
    <x v="10"/>
    <n v="633"/>
    <s v="ANDRES FELIPE ESCOBAR CORREA (260)"/>
    <s v="ANDRES FELIPE ESCOBAR CORREA (260)"/>
    <s v="24,66"/>
    <s v="Desarrollo"/>
    <x v="2"/>
    <s v="Escalado a SAP "/>
    <s v="22/07/2025: Se escala de nuevo a SAP_x000a_18/07/2025: Se tendra un reunion entre Mile, Pedro, Leidy y Marilyn para las alternativas de solución _x000a_11/07/2025: Exigir Matriz.  Escalado con nota a SAP  Case 653012/2025"/>
    <s v="FINANCIERO "/>
    <x v="1"/>
  </r>
  <r>
    <n v="49"/>
    <s v="H9_FM_403_Error Pptal del IVA en Ver Fac (8000001206)"/>
    <x v="10"/>
    <n v="403"/>
    <s v="ANDRES FELIPE ESCOBAR CORREA (260)"/>
    <s v="ANDRES FELIPE ESCOBAR CORREA (260)"/>
    <s v="24,68"/>
    <s v="Desarrollo"/>
    <x v="2"/>
    <m/>
    <s v="11/07/2025: Exigir Matriz "/>
    <s v="FINANCIERO "/>
    <x v="1"/>
  </r>
  <r>
    <n v="50"/>
    <s v="H0_EPM_TR_BOFA CREACION PLATILLA (8000001559)"/>
    <x v="2"/>
    <s v="Nuevo"/>
    <s v="Manuel Escalante (131)"/>
    <s v="MANUEL HERNANDO SANTA JARA (132)"/>
    <s v="6,88"/>
    <n v="0"/>
    <x v="0"/>
    <m/>
    <s v="7/21/2025: Se incia documentación CC"/>
    <s v="FINANCIERO"/>
    <x v="1"/>
  </r>
  <r>
    <n v="51"/>
    <s v="H0_FM_R-FI-010 _Diferencia saldo bancos (8000001556)"/>
    <x v="10"/>
    <s v="Nuevo"/>
    <s v="Lina María Rodríguez Bailón (171)"/>
    <s v="MISAEL ENRIQUE ARAUJO DIAZ (701)"/>
    <s v="6,89"/>
    <s v="Desarrollo"/>
    <x v="1"/>
    <m/>
    <s v="A nombre de Lina "/>
    <s v="TECNICO"/>
    <x v="1"/>
  </r>
  <r>
    <n v="52"/>
    <s v="H0_TX_Carga Manual (8000001541)"/>
    <x v="12"/>
    <s v="Nuevo"/>
    <s v="Raphael Gustavo Gimenes Trivaleti (219)"/>
    <s v="LINA MARIA SANCHEZ ESCOBAR (771)"/>
    <s v="8,58"/>
    <s v="Desarrollo"/>
    <x v="1"/>
    <m/>
    <s v="23/07/2025:  En reviciòn tecnica se toma de regreso Vacaciones , se habla con funcional Ana Brito"/>
    <s v="TECNICO"/>
    <x v="1"/>
  </r>
  <r>
    <n v="53"/>
    <s v="H0_AA_Genera_error_con_datos_opcionales (8000001535)"/>
    <x v="4"/>
    <s v="Nuevo"/>
    <s v="Oscar Mauricio Parada (49)"/>
    <s v="SEBASTIAN GALLEGO VILLEGAS (147)"/>
    <s v="10,60"/>
    <s v="Desarrollo"/>
    <x v="0"/>
    <m/>
    <m/>
    <s v="FINANCIERO"/>
    <x v="1"/>
  </r>
  <r>
    <n v="54"/>
    <s v="H0_AA_Error carga con datos que existen (8000001533)"/>
    <x v="4"/>
    <s v="Nuevo"/>
    <s v="Oscar Mauricio Parada (49)"/>
    <s v="SEBASTIAN GALLEGO VILLEGAS (147)"/>
    <s v="10,61"/>
    <s v="Desarrollo"/>
    <x v="0"/>
    <m/>
    <m/>
    <s v="FINANCIERO"/>
    <x v="1"/>
  </r>
  <r>
    <n v="55"/>
    <s v="H0_AA_Límite_procesamiento_10mil_registr (8000001529)"/>
    <x v="4"/>
    <s v="Nuevo"/>
    <s v="Oscar Mauricio Parada (49)"/>
    <s v="SEBASTIAN GALLEGO VILLEGAS (147)"/>
    <s v="10,61"/>
    <s v="Desarrollo"/>
    <x v="0"/>
    <m/>
    <m/>
    <s v="FINANCIERO"/>
    <x v="1"/>
  </r>
  <r>
    <n v="56"/>
    <s v="H1_TR/BCM_FORMATO ARCHIVO TXT BANCO ITAU (8000001527)"/>
    <x v="13"/>
    <s v="Nuevo"/>
    <s v="Manuel Escalante (131)"/>
    <s v="ANGELA PATRICIA PERDOMO (175)"/>
    <s v="10,69"/>
    <s v="Configuración"/>
    <x v="1"/>
    <d v="2025-07-23T00:00:00"/>
    <m/>
    <s v="FINANCIERO"/>
    <x v="1"/>
  </r>
  <r>
    <n v="57"/>
    <s v="H2_TR/BCM_FORMATO ARCHIVO TXT BANCOLOMBI (8000001514)"/>
    <x v="13"/>
    <s v="Nuevo"/>
    <s v="Manuel Escalante (131)"/>
    <s v="ANGELA PATRICIA PERDOMO (175)"/>
    <s v="10,88"/>
    <s v="Configuración"/>
    <x v="1"/>
    <d v="2025-07-31T00:00:00"/>
    <s v="7/21/2025: Debe avanzar con el ajuste para para poder definir la fecha y evaluar ayuda abap."/>
    <s v="FINANCIERO"/>
    <x v="1"/>
  </r>
  <r>
    <n v="58"/>
    <s v="H1_TR/BCM_FORMATO ARCHIVO TXT BBVA (8000001516)"/>
    <x v="13"/>
    <s v="Nuevo"/>
    <s v="Manuel Escalante (131)"/>
    <s v="ANGELA PATRICIA PERDOMO (175)"/>
    <s v="10,88"/>
    <s v="Configuración"/>
    <x v="1"/>
    <m/>
    <s v="7/21/2025: Debe ser evaluado como control de cambios"/>
    <s v="FINANCIERO"/>
    <x v="1"/>
  </r>
  <r>
    <n v="59"/>
    <s v="H0_GL_Reclasif Pago Anticipado (8000001512)"/>
    <x v="9"/>
    <s v="Nuevo"/>
    <s v="John Alejandro Rodriguez (41)"/>
    <s v="GLORIA ELENA AGUDELO ARENAS (181)"/>
    <s v="10,97"/>
    <s v="Control de cambio"/>
    <x v="0"/>
    <d v="2025-08-01T00:00:00"/>
    <s v="24/07/2025: Equipo Tecnico regresa el incidente a Funcional para su completa revisiòn (Posible control de cambio)"/>
    <s v="FINANCIERO"/>
    <x v="1"/>
  </r>
  <r>
    <n v="60"/>
    <s v="H1_TR/BCM_FORMATO ARCHIVO TXT BOGOTÁ (8000001510)"/>
    <x v="13"/>
    <s v="Nuevo"/>
    <s v="Manuel Escalante (131)"/>
    <s v="ANGELA PATRICIA PERDOMO (175)"/>
    <s v="11,62"/>
    <s v="Configuración"/>
    <x v="1"/>
    <d v="2025-07-31T00:00:00"/>
    <s v="7/21/2025: Debe avanzar con el ajuste para para poder definir la fecha y  evaluar ayuda abap."/>
    <s v="FINANCIERO"/>
    <x v="1"/>
  </r>
  <r>
    <n v="61"/>
    <s v="H0_AP_Error en cargue de FI (8000001501)"/>
    <x v="1"/>
    <s v="Nuevo"/>
    <s v="Alberto Rivera Betancourt (822)"/>
    <s v="SINDY CRISTINA ALZATE ARIAS (201)"/>
    <s v="11,73"/>
    <s v="Desarrollo"/>
    <x v="1"/>
    <m/>
    <m/>
    <s v="FINANCIERO"/>
    <x v="1"/>
  </r>
  <r>
    <n v="62"/>
    <s v="H0_AR_ErrorcargaCXC_ (8000001624)"/>
    <x v="14"/>
    <s v="Nuevo"/>
    <s v="Juan Manuel Ossa Botero (40)"/>
    <s v="ADRIANA CAROLINA PEREZ ORTIZ (327)"/>
    <s v="1,93"/>
    <s v="Configuración"/>
    <x v="0"/>
    <m/>
    <m/>
    <s v="FINANCIERO"/>
    <x v="1"/>
  </r>
  <r>
    <n v="63"/>
    <s v="H0_GR_Conversión Mone Comprobantes (8000001632)"/>
    <x v="7"/>
    <s v="Nuevo"/>
    <s v="Nicolas Sarmiento (218)"/>
    <s v="DAMARIS BIVIANA MURCIA SABOYA (103)"/>
    <s v="0,94"/>
    <s v="Configuración"/>
    <x v="0"/>
    <m/>
    <s v="28/07/2025: Pendiente revisión prioridad EF extraccion de saldos SC180 y Porcentaje de participación"/>
    <s v="FINANCIERO"/>
    <x v="1"/>
  </r>
  <r>
    <n v="64"/>
    <s v="H0_TR/BCM_FORMATO ARCHIVO TXT SUDAMERIS (8000001616)"/>
    <x v="5"/>
    <s v="Nuevo"/>
    <s v="Manuel Escalante (131)"/>
    <s v="ANGELA PATRICIA PERDOMO (175)"/>
    <s v="2,94"/>
    <s v="Configuración"/>
    <x v="1"/>
    <m/>
    <m/>
    <s v="FINANCIERO"/>
    <x v="1"/>
  </r>
  <r>
    <n v="65"/>
    <s v="H0_TR/BCM_PROCESAMIENTO RESP BANCOLOMBIA (8000001618)"/>
    <x v="5"/>
    <s v="Nuevo"/>
    <s v="Manuel Escalante (131)"/>
    <s v="ANGELA PATRICIA PERDOMO (175)"/>
    <s v="2,47"/>
    <s v="Configuración"/>
    <x v="1"/>
    <m/>
    <m/>
    <s v="FINANCIERO"/>
    <x v="1"/>
  </r>
  <r>
    <n v="66"/>
    <s v="H0_TR/BCM_PROCESAMIENTO RESP BBVA (8000001614)"/>
    <x v="5"/>
    <s v="Nuevo"/>
    <s v="Manuel Escalante (131)"/>
    <s v="ANGELA PATRICIA PERDOMO (175)"/>
    <s v="3,76"/>
    <s v="Configuración"/>
    <x v="1"/>
    <m/>
    <m/>
    <s v="FINANCIERO"/>
    <x v="1"/>
  </r>
  <r>
    <n v="67"/>
    <s v="H0_TR/BCM_PROCESAMIENTO RESP BOGOTÁ (8000001622)"/>
    <x v="5"/>
    <s v="Nuevo"/>
    <s v="Manuel Escalante (131)"/>
    <s v="ANGELA PATRICIA PERDOMO (175)"/>
    <s v="2,42"/>
    <s v="Configuración"/>
    <x v="1"/>
    <m/>
    <m/>
    <s v="FINANCIERO"/>
    <x v="1"/>
  </r>
  <r>
    <n v="68"/>
    <s v="H0_TX_736_Faltan campos reporte IVA AFRP (8000001630)"/>
    <x v="12"/>
    <s v="Nuevo"/>
    <s v="Ana Maria Brito Llerena (151)"/>
    <s v="LINA MARIA SANCHEZ ESCOBAR (771)"/>
    <s v="1,67"/>
    <s v="Control de cambio"/>
    <x v="1"/>
    <m/>
    <s v="Creado el 27/07/2025"/>
    <s v="FINANCIERO"/>
    <x v="1"/>
  </r>
  <r>
    <n v="69"/>
    <s v="H0_TX_Hoja 2 F-350 Sin información (8000001634)"/>
    <x v="12"/>
    <s v="Nuevo"/>
    <s v="Elkin Dario Fernandez Camacho (166)"/>
    <s v="LEIDY FABIOLA CARDENAS SUAREZ (188)"/>
    <s v="0,73"/>
    <n v="0"/>
    <x v="1"/>
    <m/>
    <m/>
    <m/>
    <x v="1"/>
  </r>
  <r>
    <n v="70"/>
    <s v="H0_TX_Renglón 133 F-350 Sin información (8000001636)"/>
    <x v="12"/>
    <s v="Nuevo"/>
    <s v="LEIDY FABIOLA CARDENAS SUAREZ (188)"/>
    <s v="LEIDY FABIOLA CARDENAS SUAREZ (188)"/>
    <s v="0,72"/>
    <n v="0"/>
    <x v="2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  <r>
    <m/>
    <m/>
    <x v="15"/>
    <m/>
    <m/>
    <m/>
    <m/>
    <m/>
    <x v="4"/>
    <m/>
    <m/>
    <m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1"/>
    <s v="H0-MM-Modif Pedido mensaje salida (8000001608)"/>
    <x v="0"/>
    <s v="Nuevo"/>
    <s v="Wilmar Vargas Preciado (174)"/>
    <s v="MONICA PATRICIA GIRALDO PEREZ (192)"/>
    <s v="4,54"/>
    <n v="0"/>
    <x v="0"/>
    <x v="0"/>
  </r>
  <r>
    <n v="2"/>
    <s v="H0_AP_Error en documento soporte (8000001605)"/>
    <x v="1"/>
    <s v="Nuevo"/>
    <s v="Alberto Rivera Betancourt (822)"/>
    <s v="SINDY CRISTINA ALZATE ARIAS (201)"/>
    <s v="4,65"/>
    <s v="Desarrollo"/>
    <x v="0"/>
    <x v="1"/>
  </r>
  <r>
    <n v="3"/>
    <s v="H0_TR_ERROR MONEDA E IMPORTE ME (8000001603)"/>
    <x v="2"/>
    <s v="Nuevo"/>
    <s v="Nurky Castro (46)"/>
    <s v="ANGELA PATRICIA PERDOMO (175)"/>
    <s v="5,65"/>
    <s v="Desarrollo"/>
    <x v="1"/>
    <x v="1"/>
  </r>
  <r>
    <n v="4"/>
    <s v="H2_ RE_ EPM ERROR ANULACIÓN AJUSTE (8000001471)"/>
    <x v="3"/>
    <s v="Nuevo"/>
    <s v="Pedro Emilio Jimenez Pabon (139)"/>
    <s v="NATALIA EUGENIA RAMIREZ MOLINA (193)"/>
    <s v="13,91"/>
    <s v="Desarrollo"/>
    <x v="1"/>
    <x v="1"/>
  </r>
  <r>
    <n v="5"/>
    <s v="H0_ RE_ CONTABILIDA FINANCIERA AGN (8000001462)"/>
    <x v="3"/>
    <s v="Nuevo"/>
    <s v="NATALIA EUGENIA RAMIREZ MOLINA (193)"/>
    <s v="NATALIA EUGENIA RAMIREZ MOLINA (193)"/>
    <s v="14,62"/>
    <s v="Roles y perfiles"/>
    <x v="2"/>
    <x v="1"/>
  </r>
  <r>
    <n v="6"/>
    <s v="H0_AA_Lentitud carga de datos en MC (8000001452)"/>
    <x v="4"/>
    <s v="Nuevo"/>
    <s v="Natalia Manzaneda Palacios (258)"/>
    <s v="ANA MILENA IBARBO GUTIERREZ (320)"/>
    <s v="14,73"/>
    <n v="0"/>
    <x v="1"/>
    <x v="1"/>
  </r>
  <r>
    <n v="7"/>
    <s v="H0_MM_SC120  EROR VISTA WORZONE (8000001414)"/>
    <x v="0"/>
    <s v="Nuevo"/>
    <s v="PAOLA ANDREA JIMENEZ RODRIGUEZ (492)"/>
    <s v="PAOLA ANDREA JIMENEZ RODRIGUEZ (492)"/>
    <s v="18,96"/>
    <n v="0"/>
    <x v="3"/>
    <x v="1"/>
  </r>
  <r>
    <n v="8"/>
    <s v="H0_AP_1236_ERROR ANULAR FRA MIRO (8000001412)"/>
    <x v="1"/>
    <s v="1236"/>
    <s v="Wilmar Vargas Preciado (174)"/>
    <s v="SINDY CRISTINA ALZATE ARIAS (201)"/>
    <s v="18,98"/>
    <s v="Configuración"/>
    <x v="1"/>
    <x v="2"/>
  </r>
  <r>
    <n v="9"/>
    <s v="H0_EPM_TR_ErrorPagosDavivienda (8000001408)"/>
    <x v="5"/>
    <n v="1408"/>
    <s v="MANUEL HERNANDO SANTA JARA (132)"/>
    <s v="MANUEL HERNANDO SANTA JARA (132)"/>
    <s v="19,60"/>
    <s v="Desarrollo"/>
    <x v="3"/>
    <x v="1"/>
  </r>
  <r>
    <n v="10"/>
    <s v="H0_EWM_EWM_SC048_ERROR HU AUTOMATICA (8000001406)"/>
    <x v="6"/>
    <s v="Nuevo"/>
    <s v="GUSTAVO ADOLFO GARCIA TRUJILLO (393)"/>
    <s v="GUSTAVO ADOLFO GARCIA TRUJILLO (393)"/>
    <s v="19,61"/>
    <s v="Funcionales"/>
    <x v="2"/>
    <x v="1"/>
  </r>
  <r>
    <n v="11"/>
    <s v="H2_GR_1167_Validar extracción saldos FI- (8000001394)"/>
    <x v="7"/>
    <s v="1167"/>
    <s v="Nicolas Sarmiento (218)"/>
    <s v="DAMARIS BIVIANA MURCIA SABOYA (103)"/>
    <s v="19,70"/>
    <s v="Configuración"/>
    <x v="3"/>
    <x v="1"/>
  </r>
  <r>
    <n v="12"/>
    <s v="H0_PAPM_1294_Capturadecontroladores (8000001391)"/>
    <x v="8"/>
    <n v="1294"/>
    <s v="Raphael Gustavo Gimenes Trivaleti (219)"/>
    <s v="JUAN DAVID VARGAS RESTREPO (127)"/>
    <s v="19,73"/>
    <n v="0"/>
    <x v="0"/>
    <x v="1"/>
  </r>
  <r>
    <n v="13"/>
    <s v="H0_MM_1258_Carga registros info Proveed (8000001382)"/>
    <x v="0"/>
    <s v="Nuevo"/>
    <s v="GUSTAVO ESPINOSA (646)"/>
    <s v="LUIS GERMAN PINEDA ARCILA (191)"/>
    <s v="19,85"/>
    <s v="Maestros"/>
    <x v="1"/>
    <x v="1"/>
  </r>
  <r>
    <n v="14"/>
    <s v="H0_TR_BCM_ErrorPatronesCarga (8000001378)"/>
    <x v="2"/>
    <s v="Nuevo"/>
    <s v="CAROLINA ECHEVERRI SANTA (783)"/>
    <s v="CAROLINA ECHEVERRI SANTA (783)"/>
    <s v="19,86"/>
    <s v="Configuración"/>
    <x v="3"/>
    <x v="3"/>
  </r>
  <r>
    <n v="15"/>
    <s v="H1_GL_1290_VALIDACION PPTAL NOMINA ERROR (8000001375)"/>
    <x v="9"/>
    <n v="724"/>
    <s v="SANDRA JANET TAMAYO BEDOYA (199)"/>
    <s v="SANDRA JANET TAMAYO BEDOYA (199)"/>
    <s v="19,96"/>
    <s v="Desarrollo"/>
    <x v="3"/>
    <x v="4"/>
  </r>
  <r>
    <n v="16"/>
    <s v="H1_GL_1263_Error_recepcion_parcial (8000001373)"/>
    <x v="9"/>
    <s v="1263"/>
    <s v="John Alejandro Rodriguez (41)"/>
    <s v="GLORIA ELENA AGUDELO ARENAS (181)"/>
    <s v="19,98"/>
    <s v="Desarrollo"/>
    <x v="1"/>
    <x v="5"/>
  </r>
  <r>
    <n v="17"/>
    <s v="H1_RE_ ERROR CONTABILIDA FINANCIERA PPTO (8000001368)"/>
    <x v="3"/>
    <s v="Nuevo"/>
    <s v="NATALIA EUGENIA RAMIREZ MOLINA (193)"/>
    <s v="NATALIA EUGENIA RAMIREZ MOLINA (193)"/>
    <s v="20,59"/>
    <s v="Configuración"/>
    <x v="3"/>
    <x v="1"/>
  </r>
  <r>
    <n v="18"/>
    <s v="H0_FM_1303_Error en cumplimiento tarea (8000001361)"/>
    <x v="10"/>
    <s v="1303"/>
    <s v="ANA MILENA CHADID JARAMILLO (697)"/>
    <s v="ANA MILENA CHADID JARAMILLO (697)"/>
    <s v="20,62"/>
    <n v="0"/>
    <x v="3"/>
    <x v="6"/>
  </r>
  <r>
    <n v="19"/>
    <s v="H0_FI_1308_Mensaje  error no corresponde (8000001356)"/>
    <x v="11"/>
    <s v="1308"/>
    <s v="ANA MILENA CHADID JARAMILLO (697)"/>
    <s v="ANA MILENA CHADID JARAMILLO (697)"/>
    <s v="20,64"/>
    <s v="Legados"/>
    <x v="2"/>
    <x v="1"/>
  </r>
  <r>
    <n v="20"/>
    <s v="H0_MM_1141_ROLES Y PERFILES (8000001349)"/>
    <x v="0"/>
    <s v="1141"/>
    <s v="GUSTAVO ESPINOSA (646)"/>
    <s v="PAOLA ANDREA JIMENEZ RODRIGUEZ (492)"/>
    <s v="20,75"/>
    <n v="0"/>
    <x v="1"/>
    <x v="1"/>
  </r>
  <r>
    <n v="21"/>
    <s v="H5_GR_1192_Eliminación reciproc x segmen (8000001342)"/>
    <x v="7"/>
    <s v="1192"/>
    <s v="Nicolas Sarmiento (218)"/>
    <s v="DAMARIS BIVIANA MURCIA SABOYA (103)"/>
    <s v="20,86"/>
    <s v="Configuración"/>
    <x v="2"/>
    <x v="1"/>
  </r>
  <r>
    <n v="22"/>
    <s v="H5_GR_1193_Eliminación reciproc ubic.geo (8000001340)"/>
    <x v="7"/>
    <s v="1193"/>
    <s v="Nicolas Sarmiento (218)"/>
    <s v="DAMARIS BIVIANA MURCIA SABOYA (103)"/>
    <s v="20,87"/>
    <s v="Configuración"/>
    <x v="2"/>
    <x v="1"/>
  </r>
  <r>
    <n v="23"/>
    <s v="H1_GR_interés minoritario (8000001331)"/>
    <x v="7"/>
    <s v="Nuevo"/>
    <s v="Nicolas Sarmiento (218)"/>
    <s v="DAMARIS BIVIANA MURCIA SABOYA (103)"/>
    <s v="20,89"/>
    <s v="Configuración"/>
    <x v="2"/>
    <x v="7"/>
  </r>
  <r>
    <n v="24"/>
    <s v="H1_GR_interés no contr utilidades ejerci (8000001328)"/>
    <x v="7"/>
    <s v="Nuevo"/>
    <s v="Nicolas Sarmiento (218)"/>
    <s v="DAMARIS BIVIANA MURCIA SABOYA (103)"/>
    <s v="20,89"/>
    <s v="Configuración"/>
    <x v="1"/>
    <x v="7"/>
  </r>
  <r>
    <n v="25"/>
    <s v="H1_GR_Eliminacion de dividendos (8000001326)"/>
    <x v="7"/>
    <s v="Nuevo"/>
    <s v="Nicolas Sarmiento (218)"/>
    <s v="DAMARIS BIVIANA MURCIA SABOYA (103)"/>
    <s v="20,90"/>
    <s v="Configuración"/>
    <x v="2"/>
    <x v="7"/>
  </r>
  <r>
    <n v="26"/>
    <s v="H5_GR_325_acciones poseídas y % particip (8000001322)"/>
    <x v="7"/>
    <n v="325"/>
    <s v="Nicolas Sarmiento (218)"/>
    <s v="DAMARIS BIVIANA MURCIA SABOYA (103)"/>
    <s v="20,94"/>
    <s v="Configuración"/>
    <x v="1"/>
    <x v="1"/>
  </r>
  <r>
    <n v="27"/>
    <s v="H1_AP_1198_Errores inf Portal Proveedore (8000001321)"/>
    <x v="1"/>
    <s v="1198"/>
    <s v="Alberto Rivera Betancourt (822)"/>
    <s v="PAULA ANDREA MERCADO FLOREZ (776)"/>
    <s v="20,95"/>
    <s v="Desarrollo"/>
    <x v="1"/>
    <x v="8"/>
  </r>
  <r>
    <n v="28"/>
    <s v="H4_GR_674_Generar EEFF separados (8000001319)"/>
    <x v="7"/>
    <n v="674"/>
    <s v="Gustavo Marques Cussioli  (244)"/>
    <s v="DAMARIS BIVIANA MURCIA SABOYA (103)"/>
    <s v="20,95"/>
    <s v="Configuración"/>
    <x v="1"/>
    <x v="9"/>
  </r>
  <r>
    <n v="29"/>
    <s v="H2_GR_1090_GAAP Utilidades no realizadas (8000001317)"/>
    <x v="7"/>
    <s v="1090"/>
    <s v="Nicolas Sarmiento (218)"/>
    <s v="DAMARIS BIVIANA MURCIA SABOYA (103)"/>
    <s v="20,96"/>
    <s v="Configuración"/>
    <x v="1"/>
    <x v="1"/>
  </r>
  <r>
    <n v="30"/>
    <s v="H2_GR_1094_Eliminación Inversión y patri (8000001309)"/>
    <x v="7"/>
    <s v="1094"/>
    <s v="Nicolas Sarmiento (218)"/>
    <s v="DAMARIS BIVIANA MURCIA SABOYA (103)"/>
    <s v="20,97"/>
    <s v="Configuración"/>
    <x v="2"/>
    <x v="10"/>
  </r>
  <r>
    <n v="31"/>
    <s v="H2_GR_1101_GAAP Arrendamiento Fro arrend (8000001304)"/>
    <x v="7"/>
    <s v="1101"/>
    <s v="Carlos Martins de Lima (778)"/>
    <s v="DAMARIS BIVIANA MURCIA SABOYA (103)"/>
    <s v="20,99"/>
    <s v="Configuración"/>
    <x v="1"/>
    <x v="1"/>
  </r>
  <r>
    <n v="32"/>
    <s v="H1_GR_1300_Conversion Moneda 126000 (8000001300)"/>
    <x v="7"/>
    <s v="1300"/>
    <s v="Nicolas Sarmiento (218)"/>
    <s v="DAMARIS BIVIANA MURCIA SABOYA (103)"/>
    <s v="21,00"/>
    <s v="Configuración"/>
    <x v="2"/>
    <x v="11"/>
  </r>
  <r>
    <n v="33"/>
    <s v="H1_FM_758 Controller (8000001296)"/>
    <x v="10"/>
    <s v="758 "/>
    <s v="Jenny Carolina Suarez (101)"/>
    <s v="MISAEL ENRIQUE ARAUJO DIAZ (701)"/>
    <s v="21,49"/>
    <s v="Desarrollo"/>
    <x v="1"/>
    <x v="1"/>
  </r>
  <r>
    <n v="34"/>
    <s v="H3_AA_668_ Liberación de reserva fiscal (8000001281)"/>
    <x v="4"/>
    <n v="668"/>
    <s v="Oscar Mauricio Parada (49)"/>
    <s v="LEIDY FABIOLA CARDENAS SUAREZ (188)"/>
    <s v="21,62"/>
    <s v="Desarrollo"/>
    <x v="1"/>
    <x v="12"/>
  </r>
  <r>
    <n v="35"/>
    <s v="H0_TX_1248_Errorcargamanualformato1001 (8000001272)"/>
    <x v="12"/>
    <s v="1248"/>
    <s v="Raphael Gustavo Gimenes Trivaleti (219)"/>
    <s v="ELIZABETH MARIA HERNANDEZ RUEDA (767)"/>
    <s v="21,63"/>
    <s v="Desarrollo"/>
    <x v="1"/>
    <x v="13"/>
  </r>
  <r>
    <n v="36"/>
    <s v="H0_FM_1231_Ejec Gast GT (8000001260)"/>
    <x v="10"/>
    <s v="1231"/>
    <s v="Lina María Rodríguez Bailón (171)"/>
    <s v="MISAEL ENRIQUE ARAUJO DIAZ (701)"/>
    <s v="21,74"/>
    <s v="Desarrollo"/>
    <x v="1"/>
    <x v="9"/>
  </r>
  <r>
    <n v="37"/>
    <s v="H8_TX_630_F5252 Configuración_generación (8000001247)"/>
    <x v="12"/>
    <s v="630_"/>
    <s v="Ana Maria Brito Llerena (151)"/>
    <s v="LINA MARIA SANCHEZ ESCOBAR (771)"/>
    <s v="22,83"/>
    <s v="Desarrollo"/>
    <x v="1"/>
    <x v="14"/>
  </r>
  <r>
    <n v="38"/>
    <s v="H0_TX_Comparativo por cuentas ICA (8000001596)"/>
    <x v="12"/>
    <s v="Nuevo"/>
    <s v="Diana Carolina Sanchez Aguirre (165)"/>
    <s v="LEIDY FABIOLA CARDENAS SUAREZ (188)"/>
    <s v="5,87"/>
    <n v="0"/>
    <x v="3"/>
    <x v="1"/>
  </r>
  <r>
    <n v="39"/>
    <s v="H0_TX_Comparativo por impuestos ICA (8000001594)"/>
    <x v="12"/>
    <s v="Nuevo"/>
    <s v="Diana Carolina Sanchez Aguirre (165)"/>
    <s v="LEIDY FABIOLA CARDENAS SUAREZ (188)"/>
    <s v="5,87"/>
    <n v="0"/>
    <x v="3"/>
    <x v="1"/>
  </r>
  <r>
    <n v="40"/>
    <s v="H0_TR_ERROR TRASLADO COMPENSACIÓN (8000001582)"/>
    <x v="2"/>
    <s v="Nuevo"/>
    <s v="Nurky Castro (46)"/>
    <s v="ANGELA PATRICIA PERDOMO (175)"/>
    <s v="6,47"/>
    <s v="Desarrollo"/>
    <x v="1"/>
    <x v="15"/>
  </r>
  <r>
    <n v="41"/>
    <s v="H1_TR_ERROR ESTADO FACTURA COMPENSA PARC (8000001580)"/>
    <x v="2"/>
    <s v="Nuevo"/>
    <s v="Nurky Castro (46)"/>
    <s v="ANGELA PATRICIA PERDOMO (175)"/>
    <s v="6,48"/>
    <s v="Desarrollo"/>
    <x v="1"/>
    <x v="16"/>
  </r>
  <r>
    <n v="42"/>
    <s v="H0_TX_1301_IVA Incorrecto (8000001241)"/>
    <x v="12"/>
    <s v="1301"/>
    <s v="Juan Pablo Sanchez Martinez (125)"/>
    <s v="LINA MARIA SANCHEZ ESCOBAR (771)"/>
    <s v="24,60"/>
    <s v="Desarrollo"/>
    <x v="1"/>
    <x v="1"/>
  </r>
  <r>
    <n v="43"/>
    <s v="H1_TX_1234_F1001 Valor retenciones (8000001235)"/>
    <x v="12"/>
    <s v="1234"/>
    <s v="Ana Maria Brito Llerena (151)"/>
    <s v="LINA MARIA SANCHEZ ESCOBAR (771)"/>
    <s v="24,61"/>
    <s v="Desarrollo"/>
    <x v="1"/>
    <x v="17"/>
  </r>
  <r>
    <n v="44"/>
    <s v="H0_TX_1235_F1001 Errores XML (8000001237)"/>
    <x v="12"/>
    <s v="1235"/>
    <s v="Raphael Gustavo Gimenes Trivaleti (219)"/>
    <s v="LINA MARIA SANCHEZ ESCOBAR (771)"/>
    <s v="24,61"/>
    <s v="Desarrollo"/>
    <x v="1"/>
    <x v="18"/>
  </r>
  <r>
    <n v="45"/>
    <s v="H1_TX_1272_No despliega información (8000001239)"/>
    <x v="12"/>
    <s v="1272"/>
    <s v="Alvaro Arturo Cortes Barreto (92)"/>
    <s v="LINA MARIA SANCHEZ ESCOBAR (771)"/>
    <s v="24,60"/>
    <s v="Desarrollo"/>
    <x v="1"/>
    <x v="1"/>
  </r>
  <r>
    <n v="46"/>
    <s v="H0_TX_1208_F1001 Valores duplicados (8000001228)"/>
    <x v="12"/>
    <s v="1208"/>
    <s v="Ana Maria Brito Llerena (151)"/>
    <s v="LINA MARIA SANCHEZ ESCOBAR (771)"/>
    <s v="24,62"/>
    <s v="Desarrollo"/>
    <x v="1"/>
    <x v="19"/>
  </r>
  <r>
    <n v="47"/>
    <s v="H0_TX_1211_F1005 Sin columna de iva (8000001212)"/>
    <x v="12"/>
    <s v="1211"/>
    <s v="Ana Maria Brito Llerena (151)"/>
    <s v="ELIZABETH MARIA HERNANDEZ RUEDA (767)"/>
    <s v="24,65"/>
    <s v="Desarrollo"/>
    <x v="1"/>
    <x v="1"/>
  </r>
  <r>
    <n v="48"/>
    <s v="H3_FM_633_ Consumo Pptal del Disponible (8000001211)"/>
    <x v="10"/>
    <n v="633"/>
    <s v="ANDRES FELIPE ESCOBAR CORREA (260)"/>
    <s v="ANDRES FELIPE ESCOBAR CORREA (260)"/>
    <s v="24,66"/>
    <s v="Desarrollo"/>
    <x v="2"/>
    <x v="20"/>
  </r>
  <r>
    <n v="49"/>
    <s v="H9_FM_403_Error Pptal del IVA en Ver Fac (8000001206)"/>
    <x v="10"/>
    <n v="403"/>
    <s v="ANDRES FELIPE ESCOBAR CORREA (260)"/>
    <s v="ANDRES FELIPE ESCOBAR CORREA (260)"/>
    <s v="24,68"/>
    <s v="Desarrollo"/>
    <x v="2"/>
    <x v="1"/>
  </r>
  <r>
    <n v="50"/>
    <s v="H0_EPM_TR_BOFA CREACION PLATILLA (8000001559)"/>
    <x v="2"/>
    <s v="Nuevo"/>
    <s v="Manuel Escalante (131)"/>
    <s v="MANUEL HERNANDO SANTA JARA (132)"/>
    <s v="6,88"/>
    <n v="0"/>
    <x v="0"/>
    <x v="1"/>
  </r>
  <r>
    <n v="51"/>
    <s v="H0_FM_R-FI-010 _Diferencia saldo bancos (8000001556)"/>
    <x v="10"/>
    <s v="Nuevo"/>
    <s v="Lina María Rodríguez Bailón (171)"/>
    <s v="MISAEL ENRIQUE ARAUJO DIAZ (701)"/>
    <s v="6,89"/>
    <s v="Desarrollo"/>
    <x v="1"/>
    <x v="1"/>
  </r>
  <r>
    <n v="52"/>
    <s v="H0_TX_Carga Manual (8000001541)"/>
    <x v="12"/>
    <s v="Nuevo"/>
    <s v="Raphael Gustavo Gimenes Trivaleti (219)"/>
    <s v="LINA MARIA SANCHEZ ESCOBAR (771)"/>
    <s v="8,58"/>
    <s v="Desarrollo"/>
    <x v="1"/>
    <x v="1"/>
  </r>
  <r>
    <n v="53"/>
    <s v="H0_AA_Genera_error_con_datos_opcionales (8000001535)"/>
    <x v="4"/>
    <s v="Nuevo"/>
    <s v="Oscar Mauricio Parada (49)"/>
    <s v="SEBASTIAN GALLEGO VILLEGAS (147)"/>
    <s v="10,60"/>
    <s v="Desarrollo"/>
    <x v="0"/>
    <x v="1"/>
  </r>
  <r>
    <n v="54"/>
    <s v="H0_AA_Error carga con datos que existen (8000001533)"/>
    <x v="4"/>
    <s v="Nuevo"/>
    <s v="Oscar Mauricio Parada (49)"/>
    <s v="SEBASTIAN GALLEGO VILLEGAS (147)"/>
    <s v="10,61"/>
    <s v="Desarrollo"/>
    <x v="0"/>
    <x v="1"/>
  </r>
  <r>
    <n v="55"/>
    <s v="H0_AA_Límite_procesamiento_10mil_registr (8000001529)"/>
    <x v="4"/>
    <s v="Nuevo"/>
    <s v="Oscar Mauricio Parada (49)"/>
    <s v="SEBASTIAN GALLEGO VILLEGAS (147)"/>
    <s v="10,61"/>
    <s v="Desarrollo"/>
    <x v="0"/>
    <x v="1"/>
  </r>
  <r>
    <n v="56"/>
    <s v="H1_TR/BCM_FORMATO ARCHIVO TXT BANCO ITAU (8000001527)"/>
    <x v="13"/>
    <s v="Nuevo"/>
    <s v="Manuel Escalante (131)"/>
    <s v="ANGELA PATRICIA PERDOMO (175)"/>
    <s v="10,69"/>
    <s v="Configuración"/>
    <x v="1"/>
    <x v="21"/>
  </r>
  <r>
    <n v="57"/>
    <s v="H2_TR/BCM_FORMATO ARCHIVO TXT BANCOLOMBI (8000001514)"/>
    <x v="13"/>
    <s v="Nuevo"/>
    <s v="Manuel Escalante (131)"/>
    <s v="ANGELA PATRICIA PERDOMO (175)"/>
    <s v="10,88"/>
    <s v="Configuración"/>
    <x v="1"/>
    <x v="15"/>
  </r>
  <r>
    <n v="58"/>
    <s v="H1_TR/BCM_FORMATO ARCHIVO TXT BBVA (8000001516)"/>
    <x v="13"/>
    <s v="Nuevo"/>
    <s v="Manuel Escalante (131)"/>
    <s v="ANGELA PATRICIA PERDOMO (175)"/>
    <s v="10,88"/>
    <s v="Configuración"/>
    <x v="1"/>
    <x v="1"/>
  </r>
  <r>
    <n v="59"/>
    <s v="H0_GL_Reclasif Pago Anticipado (8000001512)"/>
    <x v="9"/>
    <s v="Nuevo"/>
    <s v="John Alejandro Rodriguez (41)"/>
    <s v="GLORIA ELENA AGUDELO ARENAS (181)"/>
    <s v="10,97"/>
    <s v="Control de cambio"/>
    <x v="0"/>
    <x v="5"/>
  </r>
  <r>
    <n v="60"/>
    <s v="H1_TR/BCM_FORMATO ARCHIVO TXT BOGOTÁ (8000001510)"/>
    <x v="13"/>
    <s v="Nuevo"/>
    <s v="Manuel Escalante (131)"/>
    <s v="ANGELA PATRICIA PERDOMO (175)"/>
    <s v="11,62"/>
    <s v="Configuración"/>
    <x v="1"/>
    <x v="15"/>
  </r>
  <r>
    <n v="61"/>
    <s v="H0_AP_Error en cargue de FI (8000001501)"/>
    <x v="1"/>
    <s v="Nuevo"/>
    <s v="Alberto Rivera Betancourt (822)"/>
    <s v="SINDY CRISTINA ALZATE ARIAS (201)"/>
    <s v="11,73"/>
    <s v="Desarrollo"/>
    <x v="1"/>
    <x v="1"/>
  </r>
  <r>
    <n v="62"/>
    <s v="H0_AR_ErrorcargaCXC_ (8000001624)"/>
    <x v="14"/>
    <s v="Nuevo"/>
    <s v="Juan Manuel Ossa Botero (40)"/>
    <s v="ADRIANA CAROLINA PEREZ ORTIZ (327)"/>
    <s v="1,93"/>
    <s v="Configuración"/>
    <x v="0"/>
    <x v="1"/>
  </r>
  <r>
    <n v="63"/>
    <s v="H0_GR_Conversión Mone Comprobantes (8000001632)"/>
    <x v="7"/>
    <s v="Nuevo"/>
    <s v="Nicolas Sarmiento (218)"/>
    <s v="DAMARIS BIVIANA MURCIA SABOYA (103)"/>
    <s v="0,94"/>
    <s v="Configuración"/>
    <x v="0"/>
    <x v="1"/>
  </r>
  <r>
    <n v="64"/>
    <s v="H0_TR/BCM_FORMATO ARCHIVO TXT SUDAMERIS (8000001616)"/>
    <x v="5"/>
    <s v="Nuevo"/>
    <s v="Manuel Escalante (131)"/>
    <s v="ANGELA PATRICIA PERDOMO (175)"/>
    <s v="2,94"/>
    <s v="Configuración"/>
    <x v="1"/>
    <x v="1"/>
  </r>
  <r>
    <n v="65"/>
    <s v="H0_TR/BCM_PROCESAMIENTO RESP BANCOLOMBIA (8000001618)"/>
    <x v="5"/>
    <s v="Nuevo"/>
    <s v="Manuel Escalante (131)"/>
    <s v="ANGELA PATRICIA PERDOMO (175)"/>
    <s v="2,47"/>
    <s v="Configuración"/>
    <x v="1"/>
    <x v="1"/>
  </r>
  <r>
    <n v="66"/>
    <s v="H0_TR/BCM_PROCESAMIENTO RESP BBVA (8000001614)"/>
    <x v="5"/>
    <s v="Nuevo"/>
    <s v="Manuel Escalante (131)"/>
    <s v="ANGELA PATRICIA PERDOMO (175)"/>
    <s v="3,76"/>
    <s v="Configuración"/>
    <x v="1"/>
    <x v="1"/>
  </r>
  <r>
    <n v="67"/>
    <s v="H0_TR/BCM_PROCESAMIENTO RESP BOGOTÁ (8000001622)"/>
    <x v="5"/>
    <s v="Nuevo"/>
    <s v="Manuel Escalante (131)"/>
    <s v="ANGELA PATRICIA PERDOMO (175)"/>
    <s v="2,42"/>
    <s v="Configuración"/>
    <x v="1"/>
    <x v="1"/>
  </r>
  <r>
    <n v="68"/>
    <s v="H0_TX_736_Faltan campos reporte IVA AFRP (8000001630)"/>
    <x v="12"/>
    <s v="Nuevo"/>
    <s v="Ana Maria Brito Llerena (151)"/>
    <s v="LINA MARIA SANCHEZ ESCOBAR (771)"/>
    <s v="1,67"/>
    <s v="Control de cambio"/>
    <x v="1"/>
    <x v="1"/>
  </r>
  <r>
    <n v="69"/>
    <s v="H0_TX_Hoja 2 F-350 Sin información (8000001634)"/>
    <x v="12"/>
    <s v="Nuevo"/>
    <s v="Elkin Dario Fernandez Camacho (166)"/>
    <s v="LEIDY FABIOLA CARDENAS SUAREZ (188)"/>
    <s v="0,73"/>
    <n v="0"/>
    <x v="1"/>
    <x v="1"/>
  </r>
  <r>
    <n v="70"/>
    <s v="H0_TX_Renglón 133 F-350 Sin información (8000001636)"/>
    <x v="12"/>
    <s v="Nuevo"/>
    <s v="LEIDY FABIOLA CARDENAS SUAREZ (188)"/>
    <s v="LEIDY FABIOLA CARDENAS SUAREZ (188)"/>
    <s v="0,72"/>
    <n v="0"/>
    <x v="2"/>
    <x v="1"/>
  </r>
  <r>
    <m/>
    <m/>
    <x v="15"/>
    <m/>
    <m/>
    <m/>
    <m/>
    <m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C834D-1B5C-45D0-A73C-3506C36DA7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47" firstHeaderRow="1" firstDataRow="1" firstDataCol="3" rowPageCount="2" colPageCount="1"/>
  <pivotFields count="12">
    <pivotField compact="0" outline="0" showAll="0"/>
    <pivotField axis="axisRow" compact="0" outline="0" showAll="0">
      <items count="76">
        <item x="5"/>
        <item x="60"/>
        <item x="59"/>
        <item x="6"/>
        <item x="61"/>
        <item x="8"/>
        <item x="67"/>
        <item x="1"/>
        <item x="68"/>
        <item x="2"/>
        <item x="46"/>
        <item x="45"/>
        <item x="47"/>
        <item x="56"/>
        <item x="9"/>
        <item x="10"/>
        <item x="20"/>
        <item x="39"/>
        <item x="18"/>
        <item x="57"/>
        <item x="65"/>
        <item x="69"/>
        <item x="22"/>
        <item x="13"/>
        <item x="21"/>
        <item x="19"/>
        <item x="7"/>
        <item x="12"/>
        <item x="64"/>
        <item x="70"/>
        <item x="71"/>
        <item x="72"/>
        <item x="73"/>
        <item x="14"/>
        <item x="3"/>
        <item x="43"/>
        <item x="52"/>
        <item x="53"/>
        <item x="50"/>
        <item x="38"/>
        <item x="48"/>
        <item x="74"/>
        <item x="58"/>
        <item x="41"/>
        <item x="42"/>
        <item x="0"/>
        <item x="4"/>
        <item x="29"/>
        <item x="35"/>
        <item x="16"/>
        <item x="15"/>
        <item x="34"/>
        <item x="27"/>
        <item x="25"/>
        <item x="26"/>
        <item x="17"/>
        <item x="62"/>
        <item x="63"/>
        <item x="66"/>
        <item x="44"/>
        <item x="49"/>
        <item x="51"/>
        <item x="31"/>
        <item x="32"/>
        <item x="33"/>
        <item x="11"/>
        <item x="36"/>
        <item x="54"/>
        <item x="30"/>
        <item x="23"/>
        <item x="24"/>
        <item x="28"/>
        <item x="37"/>
        <item x="40"/>
        <item x="55"/>
        <item t="default"/>
      </items>
    </pivotField>
    <pivotField compact="0" outline="0" showAll="0"/>
    <pivotField compact="0" outline="0" showAll="0"/>
    <pivotField axis="axisRow" compact="0" outline="0" showAll="0">
      <items count="31">
        <item x="1"/>
        <item x="24"/>
        <item x="22"/>
        <item x="15"/>
        <item x="27"/>
        <item x="18"/>
        <item x="12"/>
        <item x="29"/>
        <item x="8"/>
        <item x="11"/>
        <item x="17"/>
        <item x="19"/>
        <item x="14"/>
        <item x="21"/>
        <item x="2"/>
        <item x="26"/>
        <item x="23"/>
        <item x="25"/>
        <item x="28"/>
        <item x="7"/>
        <item x="4"/>
        <item x="5"/>
        <item x="9"/>
        <item x="3"/>
        <item x="16"/>
        <item x="20"/>
        <item x="6"/>
        <item x="10"/>
        <item x="13"/>
        <item x="0"/>
        <item t="default"/>
      </items>
    </pivotField>
    <pivotField compact="0" outline="0" showAll="0">
      <items count="27">
        <item x="25"/>
        <item x="15"/>
        <item x="5"/>
        <item x="23"/>
        <item x="3"/>
        <item x="12"/>
        <item x="9"/>
        <item x="21"/>
        <item x="14"/>
        <item x="8"/>
        <item x="20"/>
        <item x="10"/>
        <item x="19"/>
        <item x="22"/>
        <item x="11"/>
        <item x="2"/>
        <item x="7"/>
        <item x="18"/>
        <item x="0"/>
        <item x="4"/>
        <item x="16"/>
        <item x="6"/>
        <item x="17"/>
        <item x="13"/>
        <item x="24"/>
        <item x="1"/>
        <item t="default"/>
      </items>
    </pivotField>
    <pivotField axis="axisRow" compact="0" outline="0" showAll="0" sortType="descending">
      <items count="67">
        <item x="53"/>
        <item x="52"/>
        <item x="51"/>
        <item h="1" x="50"/>
        <item h="1" x="49"/>
        <item h="1" x="48"/>
        <item h="1" x="41"/>
        <item h="1" x="40"/>
        <item h="1" x="39"/>
        <item h="1" x="38"/>
        <item h="1" x="37"/>
        <item h="1" x="36"/>
        <item h="1" x="2"/>
        <item h="1" x="1"/>
        <item h="1" x="0"/>
        <item x="47"/>
        <item x="46"/>
        <item x="45"/>
        <item x="44"/>
        <item x="43"/>
        <item x="42"/>
        <item x="35"/>
        <item x="34"/>
        <item x="33"/>
        <item x="32"/>
        <item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63"/>
        <item h="1" x="6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58"/>
        <item h="1" x="57"/>
        <item h="1" x="56"/>
        <item h="1" x="54"/>
        <item h="1" x="55"/>
        <item h="1" x="62"/>
        <item h="1" x="64"/>
        <item h="1" x="59"/>
        <item h="1" x="65"/>
        <item h="1" x="60"/>
        <item t="default"/>
      </items>
    </pivotField>
    <pivotField compact="0" outline="0" showAll="0"/>
    <pivotField axis="axisPage" compact="0" outline="0" multipleItemSelectionAllowed="1" showAll="0">
      <items count="5">
        <item h="1" x="2"/>
        <item x="1"/>
        <item x="0"/>
        <item h="1" x="3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7">
        <item h="1" x="3"/>
        <item x="1"/>
        <item x="2"/>
        <item h="1" x="0"/>
        <item h="1" x="4"/>
        <item h="1" x="5"/>
        <item t="default"/>
      </items>
    </pivotField>
  </pivotFields>
  <rowFields count="3">
    <field x="1"/>
    <field x="4"/>
    <field x="6"/>
  </rowFields>
  <rowItems count="43">
    <i>
      <x v="1"/>
      <x v="25"/>
      <x v="1"/>
    </i>
    <i t="default" r="1">
      <x v="25"/>
    </i>
    <i t="default">
      <x v="1"/>
    </i>
    <i>
      <x v="2"/>
      <x v="25"/>
      <x v="2"/>
    </i>
    <i t="default" r="1">
      <x v="25"/>
    </i>
    <i t="default">
      <x v="2"/>
    </i>
    <i>
      <x v="4"/>
      <x v="25"/>
      <x v="1"/>
    </i>
    <i t="default" r="1">
      <x v="25"/>
    </i>
    <i t="default">
      <x v="4"/>
    </i>
    <i>
      <x v="17"/>
      <x v="16"/>
      <x v="22"/>
    </i>
    <i t="default" r="1">
      <x v="16"/>
    </i>
    <i t="default">
      <x v="17"/>
    </i>
    <i>
      <x v="36"/>
      <x v="2"/>
      <x v="18"/>
    </i>
    <i t="default" r="1">
      <x v="2"/>
    </i>
    <i t="default">
      <x v="36"/>
    </i>
    <i>
      <x v="37"/>
      <x v="2"/>
      <x v="17"/>
    </i>
    <i t="default" r="1">
      <x v="2"/>
    </i>
    <i t="default">
      <x v="37"/>
    </i>
    <i>
      <x v="38"/>
      <x v="2"/>
      <x v="19"/>
    </i>
    <i t="default" r="1">
      <x v="2"/>
    </i>
    <i t="default">
      <x v="38"/>
    </i>
    <i>
      <x v="39"/>
      <x v="2"/>
      <x v="23"/>
    </i>
    <i t="default" r="1">
      <x v="2"/>
    </i>
    <i t="default">
      <x v="39"/>
    </i>
    <i>
      <x v="48"/>
      <x v="11"/>
      <x v="25"/>
    </i>
    <i t="default" r="1">
      <x v="11"/>
    </i>
    <i t="default">
      <x v="48"/>
    </i>
    <i>
      <x v="56"/>
      <x v="18"/>
      <x/>
    </i>
    <i t="default" r="1">
      <x v="18"/>
    </i>
    <i t="default">
      <x v="56"/>
    </i>
    <i>
      <x v="60"/>
      <x v="2"/>
      <x v="19"/>
    </i>
    <i t="default" r="1">
      <x v="2"/>
    </i>
    <i t="default">
      <x v="60"/>
    </i>
    <i>
      <x v="61"/>
      <x v="2"/>
      <x v="20"/>
    </i>
    <i t="default" r="1">
      <x v="2"/>
    </i>
    <i t="default">
      <x v="61"/>
    </i>
    <i>
      <x v="66"/>
      <x v="25"/>
      <x v="24"/>
    </i>
    <i t="default" r="1">
      <x v="25"/>
    </i>
    <i t="default">
      <x v="66"/>
    </i>
    <i>
      <x v="73"/>
      <x v="2"/>
      <x v="21"/>
    </i>
    <i t="default" r="1">
      <x v="2"/>
    </i>
    <i t="default">
      <x v="73"/>
    </i>
    <i t="grand">
      <x/>
    </i>
  </rowItems>
  <colItems count="1">
    <i/>
  </colItems>
  <pageFields count="2">
    <pageField fld="8" hier="-1"/>
    <pageField fld="1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40919-F980-4DDB-A407-68DEB46B837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O10" firstHeaderRow="1" firstDataRow="2" firstDataCol="1" rowPageCount="1" colPageCount="1"/>
  <pivotFields count="10">
    <pivotField compact="0" outline="0" showAll="0"/>
    <pivotField compact="0" outline="0" showAll="0"/>
    <pivotField axis="axisCol" dataField="1" compact="0" outline="0" showAll="0">
      <items count="20">
        <item x="4"/>
        <item x="1"/>
        <item x="5"/>
        <item x="6"/>
        <item x="11"/>
        <item x="10"/>
        <item x="9"/>
        <item x="7"/>
        <item x="0"/>
        <item m="1" x="17"/>
        <item x="8"/>
        <item x="3"/>
        <item x="2"/>
        <item x="12"/>
        <item x="15"/>
        <item m="1" x="16"/>
        <item x="13"/>
        <item m="1" x="18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h="1" x="2"/>
        <item x="1"/>
        <item x="0"/>
        <item h="1" x="3"/>
        <item h="1" x="4"/>
        <item t="default"/>
      </items>
    </pivotField>
    <pivotField axis="axisPage" compact="0" outline="0" multipleItemSelectionAllowed="1" showAll="0">
      <items count="33">
        <item x="4"/>
        <item m="1" x="24"/>
        <item x="7"/>
        <item m="1" x="26"/>
        <item x="8"/>
        <item x="3"/>
        <item m="1" x="25"/>
        <item x="6"/>
        <item m="1" x="22"/>
        <item x="1"/>
        <item x="10"/>
        <item m="1" x="31"/>
        <item m="1" x="30"/>
        <item x="5"/>
        <item x="9"/>
        <item x="11"/>
        <item m="1" x="23"/>
        <item x="13"/>
        <item x="20"/>
        <item m="1" x="29"/>
        <item m="1" x="27"/>
        <item m="1" x="28"/>
        <item x="21"/>
        <item x="15"/>
        <item x="2"/>
        <item x="12"/>
        <item x="16"/>
        <item x="17"/>
        <item x="18"/>
        <item x="14"/>
        <item x="19"/>
        <item x="0"/>
        <item t="default"/>
      </items>
    </pivotField>
  </pivotFields>
  <rowFields count="1">
    <field x="8"/>
  </rowFields>
  <rowItems count="3">
    <i>
      <x v="1"/>
    </i>
    <i>
      <x v="2"/>
    </i>
    <i t="grand">
      <x/>
    </i>
  </rowItems>
  <colFields count="1">
    <field x="2"/>
  </colFields>
  <colItems count="14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6"/>
    </i>
    <i>
      <x v="18"/>
    </i>
    <i t="grand">
      <x/>
    </i>
  </colItems>
  <pageFields count="1">
    <pageField fld="9" hier="-1"/>
  </pageFields>
  <dataFields count="1">
    <dataField name="Count of Modulo " fld="2" subtotal="count" baseField="0" baseItem="0"/>
  </dataFields>
  <formats count="11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8" type="button" dataOnly="0" labelOnly="1" outline="0" axis="axisRow" fieldPosition="0"/>
    </format>
    <format dxfId="5">
      <pivotArea dataOnly="0" labelOnly="1" outline="0" fieldPosition="0">
        <references count="1">
          <reference field="8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2" count="12">
            <x v="0"/>
            <x v="1"/>
            <x v="2"/>
            <x v="3"/>
            <x v="4"/>
            <x v="5"/>
            <x v="7"/>
            <x v="8"/>
            <x v="10"/>
            <x v="11"/>
            <x v="12"/>
            <x v="13"/>
          </reference>
        </references>
      </pivotArea>
    </format>
    <format dxfId="2">
      <pivotArea dataOnly="0" labelOnly="1" grandCol="1" outline="0" fieldPosition="0"/>
    </format>
    <format dxfId="1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E995E-E053-47CA-B246-0A59CC20181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J31" firstHeaderRow="1" firstDataRow="2" firstDataCol="1" rowPageCount="1" colPageCount="1"/>
  <pivotFields count="13">
    <pivotField compact="0" outline="0" showAll="0"/>
    <pivotField compact="0" outline="0" showAll="0"/>
    <pivotField axis="axisCol" dataField="1" compact="0" outline="0" showAll="0">
      <items count="17">
        <item x="4"/>
        <item x="1"/>
        <item x="14"/>
        <item x="5"/>
        <item x="6"/>
        <item x="11"/>
        <item x="10"/>
        <item x="9"/>
        <item x="7"/>
        <item x="0"/>
        <item x="8"/>
        <item x="3"/>
        <item x="2"/>
        <item x="13"/>
        <item x="12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</pivotFields>
  <rowFields count="1">
    <field x="8"/>
  </rowFields>
  <rowItems count="3">
    <i>
      <x v="1"/>
    </i>
    <i>
      <x v="2"/>
    </i>
    <i t="grand">
      <x/>
    </i>
  </rowItems>
  <colFields count="1">
    <field x="2"/>
  </colFields>
  <colItems count="9">
    <i>
      <x/>
    </i>
    <i>
      <x v="1"/>
    </i>
    <i>
      <x v="6"/>
    </i>
    <i>
      <x v="7"/>
    </i>
    <i>
      <x v="8"/>
    </i>
    <i>
      <x v="9"/>
    </i>
    <i>
      <x v="11"/>
    </i>
    <i>
      <x v="14"/>
    </i>
    <i t="grand">
      <x/>
    </i>
  </colItems>
  <pageFields count="1">
    <pageField fld="12" item="0" hier="-1"/>
  </pageFields>
  <dataFields count="1">
    <dataField name="Count of Modulo " fld="2" subtotal="count" baseField="0" baseItem="0"/>
  </dataFields>
  <formats count="11"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2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8" type="button" dataOnly="0" labelOnly="1" outline="0" axis="axisRow" fieldPosition="0"/>
    </format>
    <format dxfId="16">
      <pivotArea dataOnly="0" labelOnly="1" outline="0" fieldPosition="0">
        <references count="1">
          <reference field="8" count="2">
            <x v="1"/>
            <x v="2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2" count="8">
            <x v="0"/>
            <x v="1"/>
            <x v="6"/>
            <x v="7"/>
            <x v="8"/>
            <x v="9"/>
            <x v="11"/>
            <x v="14"/>
          </reference>
        </references>
      </pivotArea>
    </format>
    <format dxfId="13">
      <pivotArea dataOnly="0" labelOnly="1" grandCol="1" outline="0" fieldPosition="0"/>
    </format>
    <format dxfId="12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11195-6EFA-4CB5-B296-85E219F2EA1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L21" firstHeaderRow="1" firstDataRow="2" firstDataCol="1" rowPageCount="1" colPageCount="1"/>
  <pivotFields count="12">
    <pivotField compact="0" outline="0" showAll="0"/>
    <pivotField compact="0" outline="0" showAll="0"/>
    <pivotField axis="axisCol" dataField="1" compact="0" outline="0" showAll="0">
      <items count="21">
        <item m="1" x="19"/>
        <item x="4"/>
        <item x="1"/>
        <item x="5"/>
        <item x="6"/>
        <item x="11"/>
        <item x="10"/>
        <item x="9"/>
        <item x="7"/>
        <item x="0"/>
        <item m="1" x="17"/>
        <item x="8"/>
        <item x="3"/>
        <item x="2"/>
        <item x="12"/>
        <item x="15"/>
        <item m="1" x="16"/>
        <item x="13"/>
        <item m="1" x="18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h="1" x="1"/>
        <item h="1" x="0"/>
        <item x="3"/>
        <item h="1" m="1" x="6"/>
        <item h="1" x="4"/>
        <item h="1" m="1" x="5"/>
        <item t="default"/>
      </items>
    </pivotField>
    <pivotField compact="0" outline="0" showAll="0"/>
    <pivotField compact="0" outline="0" showAll="0"/>
    <pivotField axis="axisPage" compact="0" outline="0" showAll="0">
      <items count="8">
        <item x="1"/>
        <item x="2"/>
        <item x="4"/>
        <item x="6"/>
        <item x="3"/>
        <item x="0"/>
        <item x="5"/>
        <item t="default"/>
      </items>
    </pivotField>
  </pivotFields>
  <rowFields count="1">
    <field x="8"/>
  </rowFields>
  <rowItems count="3">
    <i>
      <x/>
    </i>
    <i>
      <x v="3"/>
    </i>
    <i t="grand">
      <x/>
    </i>
  </rowItems>
  <colFields count="1">
    <field x="2"/>
  </colFields>
  <colItems count="11"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 t="grand">
      <x/>
    </i>
  </colItems>
  <pageFields count="1">
    <pageField fld="11" hier="-1"/>
  </pageFields>
  <dataFields count="1">
    <dataField name="Count of Modulo " fld="2" subtotal="count" baseField="0" baseItem="0"/>
  </dataFields>
  <formats count="11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8" type="button" dataOnly="0" labelOnly="1" outline="0" axis="axisRow" fieldPosition="0"/>
    </format>
    <format dxfId="27">
      <pivotArea dataOnly="0" labelOnly="1" outline="0" fieldPosition="0">
        <references count="1">
          <reference field="8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8"/>
            <x v="9"/>
            <x v="11"/>
            <x v="12"/>
            <x v="13"/>
            <x v="14"/>
          </reference>
        </references>
      </pivotArea>
    </format>
    <format dxfId="24">
      <pivotArea dataOnly="0" labelOnly="1" grandCol="1" outline="0" fieldPosition="0"/>
    </format>
    <format dxfId="23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5-07-11T13:32:12.52" personId="{2DA222C8-30DB-4E1F-8563-4597DADF1B56}" id="{F053971E-C079-4E8A-A28B-2CE5F9F73382}">
    <text xml:space="preserve">Fue devuelto a tratamiento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EE62-58CB-45B2-BDE6-90D8E4359347}">
  <dimension ref="A1:C47"/>
  <sheetViews>
    <sheetView workbookViewId="0"/>
  </sheetViews>
  <sheetFormatPr defaultRowHeight="14" x14ac:dyDescent="0.3"/>
  <cols>
    <col min="1" max="1" width="63.08203125" bestFit="1" customWidth="1"/>
    <col min="2" max="2" width="42.83203125" bestFit="1" customWidth="1"/>
    <col min="3" max="3" width="39.1640625" bestFit="1" customWidth="1"/>
    <col min="4" max="4" width="42.58203125" bestFit="1" customWidth="1"/>
  </cols>
  <sheetData>
    <row r="1" spans="1:3" x14ac:dyDescent="0.3">
      <c r="A1" s="63" t="s">
        <v>0</v>
      </c>
      <c r="B1" t="s">
        <v>1</v>
      </c>
    </row>
    <row r="2" spans="1:3" x14ac:dyDescent="0.3">
      <c r="A2" s="63" t="s">
        <v>2</v>
      </c>
      <c r="B2" t="s">
        <v>1</v>
      </c>
    </row>
    <row r="4" spans="1:3" x14ac:dyDescent="0.3">
      <c r="A4" s="63" t="s">
        <v>3</v>
      </c>
      <c r="B4" s="63" t="s">
        <v>4</v>
      </c>
      <c r="C4" s="63" t="s">
        <v>5</v>
      </c>
    </row>
    <row r="5" spans="1:3" x14ac:dyDescent="0.3">
      <c r="A5" t="s">
        <v>6</v>
      </c>
      <c r="B5" t="s">
        <v>7</v>
      </c>
      <c r="C5" t="s">
        <v>8</v>
      </c>
    </row>
    <row r="6" spans="1:3" x14ac:dyDescent="0.3">
      <c r="B6" t="s">
        <v>9</v>
      </c>
    </row>
    <row r="7" spans="1:3" x14ac:dyDescent="0.3">
      <c r="A7" t="s">
        <v>10</v>
      </c>
    </row>
    <row r="8" spans="1:3" x14ac:dyDescent="0.3">
      <c r="A8" t="s">
        <v>11</v>
      </c>
      <c r="B8" t="s">
        <v>7</v>
      </c>
      <c r="C8" t="s">
        <v>12</v>
      </c>
    </row>
    <row r="9" spans="1:3" x14ac:dyDescent="0.3">
      <c r="B9" t="s">
        <v>9</v>
      </c>
    </row>
    <row r="10" spans="1:3" x14ac:dyDescent="0.3">
      <c r="A10" t="s">
        <v>13</v>
      </c>
    </row>
    <row r="11" spans="1:3" x14ac:dyDescent="0.3">
      <c r="A11" t="s">
        <v>14</v>
      </c>
      <c r="B11" t="s">
        <v>7</v>
      </c>
      <c r="C11" t="s">
        <v>8</v>
      </c>
    </row>
    <row r="12" spans="1:3" x14ac:dyDescent="0.3">
      <c r="B12" t="s">
        <v>9</v>
      </c>
    </row>
    <row r="13" spans="1:3" x14ac:dyDescent="0.3">
      <c r="A13" t="s">
        <v>15</v>
      </c>
    </row>
    <row r="14" spans="1:3" x14ac:dyDescent="0.3">
      <c r="A14" t="s">
        <v>16</v>
      </c>
      <c r="B14" t="s">
        <v>17</v>
      </c>
      <c r="C14" t="s">
        <v>18</v>
      </c>
    </row>
    <row r="15" spans="1:3" x14ac:dyDescent="0.3">
      <c r="B15" t="s">
        <v>19</v>
      </c>
    </row>
    <row r="16" spans="1:3" x14ac:dyDescent="0.3">
      <c r="A16" t="s">
        <v>20</v>
      </c>
    </row>
    <row r="17" spans="1:3" x14ac:dyDescent="0.3">
      <c r="A17" t="s">
        <v>21</v>
      </c>
      <c r="B17" t="s">
        <v>22</v>
      </c>
      <c r="C17" t="s">
        <v>23</v>
      </c>
    </row>
    <row r="18" spans="1:3" x14ac:dyDescent="0.3">
      <c r="B18" t="s">
        <v>24</v>
      </c>
    </row>
    <row r="19" spans="1:3" x14ac:dyDescent="0.3">
      <c r="A19" t="s">
        <v>25</v>
      </c>
    </row>
    <row r="20" spans="1:3" x14ac:dyDescent="0.3">
      <c r="A20" t="s">
        <v>26</v>
      </c>
      <c r="B20" t="s">
        <v>22</v>
      </c>
      <c r="C20" t="s">
        <v>27</v>
      </c>
    </row>
    <row r="21" spans="1:3" x14ac:dyDescent="0.3">
      <c r="B21" t="s">
        <v>24</v>
      </c>
    </row>
    <row r="22" spans="1:3" x14ac:dyDescent="0.3">
      <c r="A22" t="s">
        <v>28</v>
      </c>
    </row>
    <row r="23" spans="1:3" x14ac:dyDescent="0.3">
      <c r="A23" t="s">
        <v>29</v>
      </c>
      <c r="B23" t="s">
        <v>22</v>
      </c>
      <c r="C23" t="s">
        <v>30</v>
      </c>
    </row>
    <row r="24" spans="1:3" x14ac:dyDescent="0.3">
      <c r="B24" t="s">
        <v>24</v>
      </c>
    </row>
    <row r="25" spans="1:3" x14ac:dyDescent="0.3">
      <c r="A25" t="s">
        <v>31</v>
      </c>
    </row>
    <row r="26" spans="1:3" x14ac:dyDescent="0.3">
      <c r="A26" t="s">
        <v>32</v>
      </c>
      <c r="B26" t="s">
        <v>22</v>
      </c>
      <c r="C26" t="s">
        <v>33</v>
      </c>
    </row>
    <row r="27" spans="1:3" x14ac:dyDescent="0.3">
      <c r="B27" t="s">
        <v>24</v>
      </c>
    </row>
    <row r="28" spans="1:3" x14ac:dyDescent="0.3">
      <c r="A28" t="s">
        <v>34</v>
      </c>
    </row>
    <row r="29" spans="1:3" x14ac:dyDescent="0.3">
      <c r="A29" t="s">
        <v>35</v>
      </c>
      <c r="B29" t="s">
        <v>36</v>
      </c>
      <c r="C29" t="s">
        <v>37</v>
      </c>
    </row>
    <row r="30" spans="1:3" x14ac:dyDescent="0.3">
      <c r="B30" t="s">
        <v>38</v>
      </c>
    </row>
    <row r="31" spans="1:3" x14ac:dyDescent="0.3">
      <c r="A31" t="s">
        <v>39</v>
      </c>
    </row>
    <row r="32" spans="1:3" x14ac:dyDescent="0.3">
      <c r="A32" t="s">
        <v>40</v>
      </c>
      <c r="B32" t="s">
        <v>41</v>
      </c>
      <c r="C32" t="s">
        <v>42</v>
      </c>
    </row>
    <row r="33" spans="1:3" x14ac:dyDescent="0.3">
      <c r="B33" t="s">
        <v>43</v>
      </c>
    </row>
    <row r="34" spans="1:3" x14ac:dyDescent="0.3">
      <c r="A34" t="s">
        <v>44</v>
      </c>
    </row>
    <row r="35" spans="1:3" x14ac:dyDescent="0.3">
      <c r="A35" t="s">
        <v>45</v>
      </c>
      <c r="B35" t="s">
        <v>22</v>
      </c>
      <c r="C35" t="s">
        <v>30</v>
      </c>
    </row>
    <row r="36" spans="1:3" x14ac:dyDescent="0.3">
      <c r="B36" t="s">
        <v>24</v>
      </c>
    </row>
    <row r="37" spans="1:3" x14ac:dyDescent="0.3">
      <c r="A37" t="s">
        <v>46</v>
      </c>
    </row>
    <row r="38" spans="1:3" x14ac:dyDescent="0.3">
      <c r="A38" t="s">
        <v>47</v>
      </c>
      <c r="B38" t="s">
        <v>22</v>
      </c>
      <c r="C38" t="s">
        <v>48</v>
      </c>
    </row>
    <row r="39" spans="1:3" x14ac:dyDescent="0.3">
      <c r="B39" t="s">
        <v>24</v>
      </c>
    </row>
    <row r="40" spans="1:3" x14ac:dyDescent="0.3">
      <c r="A40" t="s">
        <v>49</v>
      </c>
    </row>
    <row r="41" spans="1:3" x14ac:dyDescent="0.3">
      <c r="A41" t="s">
        <v>50</v>
      </c>
      <c r="B41" t="s">
        <v>7</v>
      </c>
      <c r="C41" t="s">
        <v>51</v>
      </c>
    </row>
    <row r="42" spans="1:3" x14ac:dyDescent="0.3">
      <c r="B42" t="s">
        <v>9</v>
      </c>
    </row>
    <row r="43" spans="1:3" x14ac:dyDescent="0.3">
      <c r="A43" t="s">
        <v>52</v>
      </c>
    </row>
    <row r="44" spans="1:3" x14ac:dyDescent="0.3">
      <c r="A44" t="s">
        <v>53</v>
      </c>
      <c r="B44" t="s">
        <v>22</v>
      </c>
      <c r="C44" t="s">
        <v>54</v>
      </c>
    </row>
    <row r="45" spans="1:3" x14ac:dyDescent="0.3">
      <c r="B45" t="s">
        <v>24</v>
      </c>
    </row>
    <row r="46" spans="1:3" x14ac:dyDescent="0.3">
      <c r="A46" t="s">
        <v>55</v>
      </c>
    </row>
    <row r="47" spans="1:3" x14ac:dyDescent="0.3">
      <c r="A4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2683-2CC6-443D-A330-8B18D8442D45}">
  <sheetPr filterMode="1"/>
  <dimension ref="A1:F71"/>
  <sheetViews>
    <sheetView workbookViewId="0">
      <selection activeCell="A48" sqref="A48:XFD48"/>
    </sheetView>
  </sheetViews>
  <sheetFormatPr defaultColWidth="11" defaultRowHeight="14" x14ac:dyDescent="0.3"/>
  <cols>
    <col min="1" max="1" width="72.08203125" customWidth="1"/>
    <col min="2" max="2" width="55.83203125" customWidth="1"/>
    <col min="3" max="5" width="12.33203125" customWidth="1"/>
    <col min="6" max="6" width="23.08203125" customWidth="1"/>
    <col min="7" max="7" width="12.33203125" customWidth="1"/>
  </cols>
  <sheetData>
    <row r="1" spans="1:6" ht="13.5" customHeight="1" x14ac:dyDescent="0.3">
      <c r="A1" s="37" t="s">
        <v>3</v>
      </c>
      <c r="B1" s="37" t="s">
        <v>4</v>
      </c>
      <c r="C1" s="37" t="s">
        <v>57</v>
      </c>
      <c r="D1" s="37" t="s">
        <v>5</v>
      </c>
      <c r="E1" s="37" t="s">
        <v>58</v>
      </c>
      <c r="F1" s="37" t="s">
        <v>0</v>
      </c>
    </row>
    <row r="2" spans="1:6" hidden="1" x14ac:dyDescent="0.3">
      <c r="A2" s="38" t="s">
        <v>59</v>
      </c>
      <c r="B2" s="38" t="s">
        <v>60</v>
      </c>
      <c r="C2" s="38" t="s">
        <v>60</v>
      </c>
      <c r="D2" s="38" t="s">
        <v>61</v>
      </c>
      <c r="E2" s="38" t="s">
        <v>62</v>
      </c>
      <c r="F2" s="38" t="s">
        <v>63</v>
      </c>
    </row>
    <row r="3" spans="1:6" hidden="1" x14ac:dyDescent="0.3">
      <c r="A3" s="38" t="s">
        <v>6</v>
      </c>
      <c r="B3" s="38" t="s">
        <v>7</v>
      </c>
      <c r="C3" s="38" t="s">
        <v>64</v>
      </c>
      <c r="D3" s="38" t="s">
        <v>65</v>
      </c>
      <c r="E3" s="38" t="s">
        <v>66</v>
      </c>
      <c r="F3" s="38" t="s">
        <v>67</v>
      </c>
    </row>
    <row r="4" spans="1:6" hidden="1" x14ac:dyDescent="0.3">
      <c r="A4" s="38" t="s">
        <v>11</v>
      </c>
      <c r="B4" s="38" t="s">
        <v>7</v>
      </c>
      <c r="C4" s="38" t="s">
        <v>64</v>
      </c>
      <c r="D4" s="38" t="s">
        <v>68</v>
      </c>
      <c r="E4" s="38" t="s">
        <v>66</v>
      </c>
      <c r="F4" s="38" t="s">
        <v>67</v>
      </c>
    </row>
    <row r="5" spans="1:6" hidden="1" x14ac:dyDescent="0.3">
      <c r="A5" s="38" t="s">
        <v>69</v>
      </c>
      <c r="B5" s="38" t="s">
        <v>70</v>
      </c>
      <c r="C5" s="38" t="s">
        <v>71</v>
      </c>
      <c r="D5" s="38" t="s">
        <v>72</v>
      </c>
      <c r="E5" s="38"/>
      <c r="F5" s="38" t="s">
        <v>73</v>
      </c>
    </row>
    <row r="6" spans="1:6" hidden="1" x14ac:dyDescent="0.3">
      <c r="A6" s="38" t="s">
        <v>14</v>
      </c>
      <c r="B6" s="38" t="s">
        <v>7</v>
      </c>
      <c r="C6" s="38" t="s">
        <v>64</v>
      </c>
      <c r="D6" s="38" t="s">
        <v>65</v>
      </c>
      <c r="E6" s="38" t="s">
        <v>66</v>
      </c>
      <c r="F6" s="38" t="s">
        <v>67</v>
      </c>
    </row>
    <row r="7" spans="1:6" hidden="1" x14ac:dyDescent="0.3">
      <c r="A7" s="38" t="s">
        <v>74</v>
      </c>
      <c r="B7" s="38" t="s">
        <v>75</v>
      </c>
      <c r="C7" s="38" t="s">
        <v>76</v>
      </c>
      <c r="D7" s="38" t="s">
        <v>77</v>
      </c>
      <c r="E7" s="38" t="s">
        <v>78</v>
      </c>
      <c r="F7" s="38" t="s">
        <v>73</v>
      </c>
    </row>
    <row r="8" spans="1:6" hidden="1" x14ac:dyDescent="0.3">
      <c r="A8" s="38" t="s">
        <v>79</v>
      </c>
      <c r="B8" s="38" t="s">
        <v>80</v>
      </c>
      <c r="C8" s="38" t="s">
        <v>76</v>
      </c>
      <c r="D8" s="38" t="s">
        <v>81</v>
      </c>
      <c r="E8" s="38" t="s">
        <v>66</v>
      </c>
      <c r="F8" s="38" t="s">
        <v>73</v>
      </c>
    </row>
    <row r="9" spans="1:6" hidden="1" x14ac:dyDescent="0.3">
      <c r="A9" s="38" t="s">
        <v>82</v>
      </c>
      <c r="B9" s="38" t="s">
        <v>80</v>
      </c>
      <c r="C9" s="38" t="s">
        <v>76</v>
      </c>
      <c r="D9" s="38" t="s">
        <v>83</v>
      </c>
      <c r="E9" s="38" t="s">
        <v>66</v>
      </c>
      <c r="F9" s="38" t="s">
        <v>67</v>
      </c>
    </row>
    <row r="10" spans="1:6" hidden="1" x14ac:dyDescent="0.3">
      <c r="A10" s="38" t="s">
        <v>84</v>
      </c>
      <c r="B10" s="38" t="s">
        <v>85</v>
      </c>
      <c r="C10" s="38" t="s">
        <v>86</v>
      </c>
      <c r="D10" s="38" t="s">
        <v>87</v>
      </c>
      <c r="E10" s="38" t="s">
        <v>78</v>
      </c>
      <c r="F10" s="38" t="s">
        <v>67</v>
      </c>
    </row>
    <row r="11" spans="1:6" hidden="1" x14ac:dyDescent="0.3">
      <c r="A11" s="38" t="s">
        <v>88</v>
      </c>
      <c r="B11" s="38" t="s">
        <v>41</v>
      </c>
      <c r="C11" s="38" t="s">
        <v>89</v>
      </c>
      <c r="D11" s="38" t="s">
        <v>90</v>
      </c>
      <c r="E11" s="38"/>
      <c r="F11" s="38" t="s">
        <v>67</v>
      </c>
    </row>
    <row r="12" spans="1:6" hidden="1" x14ac:dyDescent="0.3">
      <c r="A12" s="38" t="s">
        <v>91</v>
      </c>
      <c r="B12" s="38" t="s">
        <v>89</v>
      </c>
      <c r="C12" s="38" t="s">
        <v>89</v>
      </c>
      <c r="D12" s="38" t="s">
        <v>92</v>
      </c>
      <c r="E12" s="38" t="s">
        <v>66</v>
      </c>
      <c r="F12" s="38" t="s">
        <v>93</v>
      </c>
    </row>
    <row r="13" spans="1:6" hidden="1" x14ac:dyDescent="0.3">
      <c r="A13" s="38" t="s">
        <v>94</v>
      </c>
      <c r="B13" s="38" t="s">
        <v>95</v>
      </c>
      <c r="C13" s="38" t="s">
        <v>95</v>
      </c>
      <c r="D13" s="38" t="s">
        <v>96</v>
      </c>
      <c r="E13" s="38" t="s">
        <v>97</v>
      </c>
      <c r="F13" s="38" t="s">
        <v>63</v>
      </c>
    </row>
    <row r="14" spans="1:6" hidden="1" x14ac:dyDescent="0.3">
      <c r="A14" s="38" t="s">
        <v>98</v>
      </c>
      <c r="B14" s="38" t="s">
        <v>99</v>
      </c>
      <c r="C14" s="38" t="s">
        <v>99</v>
      </c>
      <c r="D14" s="38" t="s">
        <v>100</v>
      </c>
      <c r="E14" s="38" t="s">
        <v>101</v>
      </c>
      <c r="F14" s="38" t="s">
        <v>63</v>
      </c>
    </row>
    <row r="15" spans="1:6" hidden="1" x14ac:dyDescent="0.3">
      <c r="A15" s="38" t="s">
        <v>16</v>
      </c>
      <c r="B15" s="38" t="s">
        <v>17</v>
      </c>
      <c r="C15" s="38" t="s">
        <v>102</v>
      </c>
      <c r="D15" s="38" t="s">
        <v>103</v>
      </c>
      <c r="E15" s="38" t="s">
        <v>66</v>
      </c>
      <c r="F15" s="38" t="s">
        <v>73</v>
      </c>
    </row>
    <row r="16" spans="1:6" hidden="1" x14ac:dyDescent="0.3">
      <c r="A16" s="38" t="s">
        <v>104</v>
      </c>
      <c r="B16" s="38" t="s">
        <v>99</v>
      </c>
      <c r="C16" s="38" t="s">
        <v>99</v>
      </c>
      <c r="D16" s="38" t="s">
        <v>105</v>
      </c>
      <c r="E16" s="38"/>
      <c r="F16" s="38" t="s">
        <v>93</v>
      </c>
    </row>
    <row r="17" spans="1:6" hidden="1" x14ac:dyDescent="0.3">
      <c r="A17" s="38" t="s">
        <v>106</v>
      </c>
      <c r="B17" s="38" t="s">
        <v>17</v>
      </c>
      <c r="C17" s="38" t="s">
        <v>102</v>
      </c>
      <c r="D17" s="38" t="s">
        <v>107</v>
      </c>
      <c r="E17" s="38" t="s">
        <v>66</v>
      </c>
      <c r="F17" s="38" t="s">
        <v>73</v>
      </c>
    </row>
    <row r="18" spans="1:6" hidden="1" x14ac:dyDescent="0.3">
      <c r="A18" s="38" t="s">
        <v>108</v>
      </c>
      <c r="B18" s="38" t="s">
        <v>109</v>
      </c>
      <c r="C18" s="38" t="s">
        <v>110</v>
      </c>
      <c r="D18" s="38" t="s">
        <v>111</v>
      </c>
      <c r="E18" s="38" t="s">
        <v>112</v>
      </c>
      <c r="F18" s="38" t="s">
        <v>67</v>
      </c>
    </row>
    <row r="19" spans="1:6" hidden="1" x14ac:dyDescent="0.3">
      <c r="A19" s="38" t="s">
        <v>113</v>
      </c>
      <c r="B19" s="38" t="s">
        <v>114</v>
      </c>
      <c r="C19" s="38" t="s">
        <v>115</v>
      </c>
      <c r="D19" s="38" t="s">
        <v>116</v>
      </c>
      <c r="E19" s="38" t="s">
        <v>78</v>
      </c>
      <c r="F19" s="38" t="s">
        <v>67</v>
      </c>
    </row>
    <row r="20" spans="1:6" hidden="1" x14ac:dyDescent="0.3">
      <c r="A20" s="38" t="s">
        <v>117</v>
      </c>
      <c r="B20" s="38" t="s">
        <v>118</v>
      </c>
      <c r="C20" s="38" t="s">
        <v>119</v>
      </c>
      <c r="D20" s="38" t="s">
        <v>120</v>
      </c>
      <c r="E20" s="38"/>
      <c r="F20" s="38" t="s">
        <v>73</v>
      </c>
    </row>
    <row r="21" spans="1:6" hidden="1" x14ac:dyDescent="0.3">
      <c r="A21" s="38" t="s">
        <v>121</v>
      </c>
      <c r="B21" s="38" t="s">
        <v>118</v>
      </c>
      <c r="C21" s="38" t="s">
        <v>122</v>
      </c>
      <c r="D21" s="38" t="s">
        <v>123</v>
      </c>
      <c r="E21" s="38" t="s">
        <v>124</v>
      </c>
      <c r="F21" s="38" t="s">
        <v>73</v>
      </c>
    </row>
    <row r="22" spans="1:6" hidden="1" x14ac:dyDescent="0.3">
      <c r="A22" s="38" t="s">
        <v>125</v>
      </c>
      <c r="B22" s="38" t="s">
        <v>119</v>
      </c>
      <c r="C22" s="38" t="s">
        <v>119</v>
      </c>
      <c r="D22" s="38" t="s">
        <v>126</v>
      </c>
      <c r="E22" s="38"/>
      <c r="F22" s="38" t="s">
        <v>93</v>
      </c>
    </row>
    <row r="23" spans="1:6" hidden="1" x14ac:dyDescent="0.3">
      <c r="A23" s="38" t="s">
        <v>127</v>
      </c>
      <c r="B23" s="38" t="s">
        <v>128</v>
      </c>
      <c r="C23" s="38" t="s">
        <v>129</v>
      </c>
      <c r="D23" s="38" t="s">
        <v>130</v>
      </c>
      <c r="E23" s="38"/>
      <c r="F23" s="38" t="s">
        <v>67</v>
      </c>
    </row>
    <row r="24" spans="1:6" hidden="1" x14ac:dyDescent="0.3">
      <c r="A24" s="38" t="s">
        <v>131</v>
      </c>
      <c r="B24" s="38" t="s">
        <v>132</v>
      </c>
      <c r="C24" s="38" t="s">
        <v>132</v>
      </c>
      <c r="D24" s="38" t="s">
        <v>133</v>
      </c>
      <c r="E24" s="38" t="s">
        <v>78</v>
      </c>
      <c r="F24" s="38" t="s">
        <v>93</v>
      </c>
    </row>
    <row r="25" spans="1:6" hidden="1" x14ac:dyDescent="0.3">
      <c r="A25" s="38" t="s">
        <v>134</v>
      </c>
      <c r="B25" s="38" t="s">
        <v>135</v>
      </c>
      <c r="C25" s="38" t="s">
        <v>136</v>
      </c>
      <c r="D25" s="38" t="s">
        <v>137</v>
      </c>
      <c r="E25" s="38" t="s">
        <v>66</v>
      </c>
      <c r="F25" s="38" t="s">
        <v>73</v>
      </c>
    </row>
    <row r="26" spans="1:6" hidden="1" x14ac:dyDescent="0.3">
      <c r="A26" s="38" t="s">
        <v>138</v>
      </c>
      <c r="B26" s="38" t="s">
        <v>135</v>
      </c>
      <c r="C26" s="38" t="s">
        <v>136</v>
      </c>
      <c r="D26" s="38" t="s">
        <v>139</v>
      </c>
      <c r="E26" s="38" t="s">
        <v>66</v>
      </c>
      <c r="F26" s="38" t="s">
        <v>73</v>
      </c>
    </row>
    <row r="27" spans="1:6" hidden="1" x14ac:dyDescent="0.3">
      <c r="A27" s="38" t="s">
        <v>140</v>
      </c>
      <c r="B27" s="38" t="s">
        <v>41</v>
      </c>
      <c r="C27" s="38" t="s">
        <v>136</v>
      </c>
      <c r="D27" s="38" t="s">
        <v>141</v>
      </c>
      <c r="E27" s="38" t="s">
        <v>78</v>
      </c>
      <c r="F27" s="38" t="s">
        <v>73</v>
      </c>
    </row>
    <row r="28" spans="1:6" hidden="1" x14ac:dyDescent="0.3">
      <c r="A28" s="38" t="s">
        <v>142</v>
      </c>
      <c r="B28" s="38" t="s">
        <v>41</v>
      </c>
      <c r="C28" s="38" t="s">
        <v>136</v>
      </c>
      <c r="D28" s="38" t="s">
        <v>143</v>
      </c>
      <c r="E28" s="38" t="s">
        <v>78</v>
      </c>
      <c r="F28" s="38" t="s">
        <v>73</v>
      </c>
    </row>
    <row r="29" spans="1:6" hidden="1" x14ac:dyDescent="0.3">
      <c r="A29" s="38" t="s">
        <v>144</v>
      </c>
      <c r="B29" s="38" t="s">
        <v>41</v>
      </c>
      <c r="C29" s="38" t="s">
        <v>136</v>
      </c>
      <c r="D29" s="38" t="s">
        <v>145</v>
      </c>
      <c r="E29" s="38" t="s">
        <v>78</v>
      </c>
      <c r="F29" s="38" t="s">
        <v>73</v>
      </c>
    </row>
    <row r="30" spans="1:6" hidden="1" x14ac:dyDescent="0.3">
      <c r="A30" s="38" t="s">
        <v>146</v>
      </c>
      <c r="B30" s="38" t="s">
        <v>41</v>
      </c>
      <c r="C30" s="38" t="s">
        <v>136</v>
      </c>
      <c r="D30" s="38" t="s">
        <v>147</v>
      </c>
      <c r="E30" s="38" t="s">
        <v>78</v>
      </c>
      <c r="F30" s="38" t="s">
        <v>73</v>
      </c>
    </row>
    <row r="31" spans="1:6" hidden="1" x14ac:dyDescent="0.3">
      <c r="A31" s="38" t="s">
        <v>21</v>
      </c>
      <c r="B31" s="38" t="s">
        <v>22</v>
      </c>
      <c r="C31" s="38" t="s">
        <v>148</v>
      </c>
      <c r="D31" s="38" t="s">
        <v>149</v>
      </c>
      <c r="E31" s="38" t="s">
        <v>66</v>
      </c>
      <c r="F31" s="38" t="s">
        <v>73</v>
      </c>
    </row>
    <row r="32" spans="1:6" hidden="1" x14ac:dyDescent="0.3">
      <c r="A32" s="38" t="s">
        <v>26</v>
      </c>
      <c r="B32" s="38" t="s">
        <v>22</v>
      </c>
      <c r="C32" s="38" t="s">
        <v>150</v>
      </c>
      <c r="D32" s="38" t="s">
        <v>151</v>
      </c>
      <c r="E32" s="38" t="s">
        <v>66</v>
      </c>
      <c r="F32" s="38" t="s">
        <v>73</v>
      </c>
    </row>
    <row r="33" spans="1:6" hidden="1" x14ac:dyDescent="0.3">
      <c r="A33" s="38" t="s">
        <v>29</v>
      </c>
      <c r="B33" s="38" t="s">
        <v>128</v>
      </c>
      <c r="C33" s="38" t="s">
        <v>148</v>
      </c>
      <c r="D33" s="38" t="s">
        <v>152</v>
      </c>
      <c r="E33" s="38" t="s">
        <v>66</v>
      </c>
      <c r="F33" s="38" t="s">
        <v>73</v>
      </c>
    </row>
    <row r="34" spans="1:6" hidden="1" x14ac:dyDescent="0.3">
      <c r="A34" s="38" t="s">
        <v>32</v>
      </c>
      <c r="B34" s="38" t="s">
        <v>128</v>
      </c>
      <c r="C34" s="38" t="s">
        <v>150</v>
      </c>
      <c r="D34" s="38" t="s">
        <v>153</v>
      </c>
      <c r="E34" s="38" t="s">
        <v>66</v>
      </c>
      <c r="F34" s="38" t="s">
        <v>73</v>
      </c>
    </row>
    <row r="35" spans="1:6" hidden="1" x14ac:dyDescent="0.3">
      <c r="A35" s="38" t="s">
        <v>154</v>
      </c>
      <c r="B35" s="38" t="s">
        <v>155</v>
      </c>
      <c r="C35" s="38" t="s">
        <v>148</v>
      </c>
      <c r="D35" s="38" t="s">
        <v>156</v>
      </c>
      <c r="E35" s="38" t="s">
        <v>66</v>
      </c>
      <c r="F35" s="38" t="s">
        <v>73</v>
      </c>
    </row>
    <row r="36" spans="1:6" hidden="1" x14ac:dyDescent="0.3">
      <c r="A36" s="38" t="s">
        <v>157</v>
      </c>
      <c r="B36" s="38" t="s">
        <v>22</v>
      </c>
      <c r="C36" s="38" t="s">
        <v>148</v>
      </c>
      <c r="D36" s="38" t="s">
        <v>158</v>
      </c>
      <c r="E36" s="38" t="s">
        <v>112</v>
      </c>
      <c r="F36" s="38" t="s">
        <v>73</v>
      </c>
    </row>
    <row r="37" spans="1:6" hidden="1" x14ac:dyDescent="0.3">
      <c r="A37" s="38" t="s">
        <v>159</v>
      </c>
      <c r="B37" s="38" t="s">
        <v>128</v>
      </c>
      <c r="C37" s="38" t="s">
        <v>148</v>
      </c>
      <c r="D37" s="38" t="s">
        <v>160</v>
      </c>
      <c r="E37" s="38" t="s">
        <v>66</v>
      </c>
      <c r="F37" s="38" t="s">
        <v>73</v>
      </c>
    </row>
    <row r="38" spans="1:6" hidden="1" x14ac:dyDescent="0.3">
      <c r="A38" s="38" t="s">
        <v>161</v>
      </c>
      <c r="B38" s="38" t="s">
        <v>162</v>
      </c>
      <c r="C38" s="38" t="s">
        <v>163</v>
      </c>
      <c r="D38" s="38" t="s">
        <v>164</v>
      </c>
      <c r="E38" s="38"/>
      <c r="F38" s="38" t="s">
        <v>73</v>
      </c>
    </row>
    <row r="39" spans="1:6" hidden="1" x14ac:dyDescent="0.3">
      <c r="A39" s="38" t="s">
        <v>165</v>
      </c>
      <c r="B39" s="38" t="s">
        <v>162</v>
      </c>
      <c r="C39" s="38" t="s">
        <v>163</v>
      </c>
      <c r="D39" s="38" t="s">
        <v>164</v>
      </c>
      <c r="E39" s="38"/>
      <c r="F39" s="38" t="s">
        <v>73</v>
      </c>
    </row>
    <row r="40" spans="1:6" hidden="1" x14ac:dyDescent="0.3">
      <c r="A40" s="38" t="s">
        <v>166</v>
      </c>
      <c r="B40" s="38" t="s">
        <v>167</v>
      </c>
      <c r="C40" s="38" t="s">
        <v>163</v>
      </c>
      <c r="D40" s="38" t="s">
        <v>168</v>
      </c>
      <c r="E40" s="38"/>
      <c r="F40" s="38" t="s">
        <v>73</v>
      </c>
    </row>
    <row r="41" spans="1:6" hidden="1" x14ac:dyDescent="0.3">
      <c r="A41" s="38" t="s">
        <v>169</v>
      </c>
      <c r="B41" s="38" t="s">
        <v>163</v>
      </c>
      <c r="C41" s="38" t="s">
        <v>163</v>
      </c>
      <c r="D41" s="38" t="s">
        <v>170</v>
      </c>
      <c r="E41" s="38"/>
      <c r="F41" s="38" t="s">
        <v>63</v>
      </c>
    </row>
    <row r="42" spans="1:6" hidden="1" x14ac:dyDescent="0.3">
      <c r="A42" s="38" t="s">
        <v>171</v>
      </c>
      <c r="B42" s="38" t="s">
        <v>75</v>
      </c>
      <c r="C42" s="38" t="s">
        <v>172</v>
      </c>
      <c r="D42" s="38" t="s">
        <v>173</v>
      </c>
      <c r="E42" s="38"/>
      <c r="F42" s="38" t="s">
        <v>67</v>
      </c>
    </row>
    <row r="43" spans="1:6" hidden="1" x14ac:dyDescent="0.3">
      <c r="A43" s="38" t="s">
        <v>174</v>
      </c>
      <c r="B43" s="38" t="s">
        <v>80</v>
      </c>
      <c r="C43" s="38" t="s">
        <v>175</v>
      </c>
      <c r="D43" s="38" t="s">
        <v>176</v>
      </c>
      <c r="E43" s="38" t="s">
        <v>66</v>
      </c>
      <c r="F43" s="38" t="s">
        <v>73</v>
      </c>
    </row>
    <row r="44" spans="1:6" hidden="1" x14ac:dyDescent="0.3">
      <c r="A44" s="38" t="s">
        <v>35</v>
      </c>
      <c r="B44" s="38" t="s">
        <v>36</v>
      </c>
      <c r="C44" s="38" t="s">
        <v>102</v>
      </c>
      <c r="D44" s="38" t="s">
        <v>177</v>
      </c>
      <c r="E44" s="38" t="s">
        <v>66</v>
      </c>
      <c r="F44" s="38" t="s">
        <v>73</v>
      </c>
    </row>
    <row r="45" spans="1:6" hidden="1" x14ac:dyDescent="0.3">
      <c r="A45" s="38" t="s">
        <v>178</v>
      </c>
      <c r="B45" s="38" t="s">
        <v>109</v>
      </c>
      <c r="C45" s="38" t="s">
        <v>110</v>
      </c>
      <c r="D45" s="38" t="s">
        <v>179</v>
      </c>
      <c r="E45" s="38" t="s">
        <v>66</v>
      </c>
      <c r="F45" s="38" t="s">
        <v>73</v>
      </c>
    </row>
    <row r="46" spans="1:6" hidden="1" x14ac:dyDescent="0.3">
      <c r="A46" s="38" t="s">
        <v>180</v>
      </c>
      <c r="B46" s="38" t="s">
        <v>181</v>
      </c>
      <c r="C46" s="38" t="s">
        <v>181</v>
      </c>
      <c r="D46" s="38" t="s">
        <v>182</v>
      </c>
      <c r="E46" s="38" t="s">
        <v>66</v>
      </c>
      <c r="F46" s="38" t="s">
        <v>93</v>
      </c>
    </row>
    <row r="47" spans="1:6" hidden="1" x14ac:dyDescent="0.3">
      <c r="A47" s="38" t="s">
        <v>183</v>
      </c>
      <c r="B47" s="38" t="s">
        <v>114</v>
      </c>
      <c r="C47" s="38" t="s">
        <v>115</v>
      </c>
      <c r="D47" s="38" t="s">
        <v>184</v>
      </c>
      <c r="E47" s="38" t="s">
        <v>78</v>
      </c>
      <c r="F47" s="38" t="s">
        <v>63</v>
      </c>
    </row>
    <row r="48" spans="1:6" x14ac:dyDescent="0.3">
      <c r="A48" s="38" t="s">
        <v>185</v>
      </c>
      <c r="B48" s="38" t="s">
        <v>114</v>
      </c>
      <c r="C48" s="38" t="s">
        <v>115</v>
      </c>
      <c r="D48" s="38" t="s">
        <v>186</v>
      </c>
      <c r="E48" s="38" t="s">
        <v>78</v>
      </c>
      <c r="F48" s="38" t="s">
        <v>63</v>
      </c>
    </row>
    <row r="49" spans="1:6" ht="22.5" customHeight="1" x14ac:dyDescent="0.3">
      <c r="A49" s="38" t="s">
        <v>187</v>
      </c>
      <c r="B49" s="38" t="s">
        <v>114</v>
      </c>
      <c r="C49" s="38" t="s">
        <v>115</v>
      </c>
      <c r="D49" s="38" t="s">
        <v>188</v>
      </c>
      <c r="E49" s="38" t="s">
        <v>78</v>
      </c>
      <c r="F49" s="38" t="s">
        <v>63</v>
      </c>
    </row>
    <row r="50" spans="1:6" x14ac:dyDescent="0.3">
      <c r="A50" s="38" t="s">
        <v>189</v>
      </c>
      <c r="B50" s="38" t="s">
        <v>114</v>
      </c>
      <c r="C50" s="38" t="s">
        <v>115</v>
      </c>
      <c r="D50" s="38" t="s">
        <v>188</v>
      </c>
      <c r="E50" s="38" t="s">
        <v>78</v>
      </c>
      <c r="F50" s="38" t="s">
        <v>73</v>
      </c>
    </row>
    <row r="51" spans="1:6" x14ac:dyDescent="0.3">
      <c r="A51" s="38" t="s">
        <v>190</v>
      </c>
      <c r="B51" s="38" t="s">
        <v>60</v>
      </c>
      <c r="C51" s="38" t="s">
        <v>60</v>
      </c>
      <c r="D51" s="38" t="s">
        <v>191</v>
      </c>
      <c r="E51" s="38" t="s">
        <v>78</v>
      </c>
      <c r="F51" s="38" t="s">
        <v>93</v>
      </c>
    </row>
    <row r="52" spans="1:6" x14ac:dyDescent="0.3">
      <c r="A52" s="38" t="s">
        <v>192</v>
      </c>
      <c r="B52" s="38" t="s">
        <v>135</v>
      </c>
      <c r="C52" s="38" t="s">
        <v>136</v>
      </c>
      <c r="D52" s="38" t="s">
        <v>193</v>
      </c>
      <c r="E52" s="38" t="s">
        <v>66</v>
      </c>
      <c r="F52" s="38" t="s">
        <v>73</v>
      </c>
    </row>
    <row r="53" spans="1:6" ht="25.5" customHeight="1" x14ac:dyDescent="0.3">
      <c r="A53" s="38" t="s">
        <v>40</v>
      </c>
      <c r="B53" s="38" t="s">
        <v>41</v>
      </c>
      <c r="C53" s="38" t="s">
        <v>136</v>
      </c>
      <c r="D53" s="38" t="s">
        <v>194</v>
      </c>
      <c r="E53" s="38" t="s">
        <v>78</v>
      </c>
      <c r="F53" s="38" t="s">
        <v>73</v>
      </c>
    </row>
    <row r="54" spans="1:6" x14ac:dyDescent="0.3">
      <c r="A54" s="38" t="s">
        <v>195</v>
      </c>
      <c r="B54" s="38" t="s">
        <v>41</v>
      </c>
      <c r="C54" s="38" t="s">
        <v>136</v>
      </c>
      <c r="D54" s="38" t="s">
        <v>196</v>
      </c>
      <c r="E54" s="38" t="s">
        <v>78</v>
      </c>
      <c r="F54" s="38" t="s">
        <v>73</v>
      </c>
    </row>
    <row r="55" spans="1:6" hidden="1" x14ac:dyDescent="0.3">
      <c r="A55" s="38" t="s">
        <v>197</v>
      </c>
      <c r="B55" s="38" t="s">
        <v>41</v>
      </c>
      <c r="C55" s="38" t="s">
        <v>136</v>
      </c>
      <c r="D55" s="38" t="s">
        <v>198</v>
      </c>
      <c r="E55" s="38" t="s">
        <v>78</v>
      </c>
      <c r="F55" s="38" t="s">
        <v>73</v>
      </c>
    </row>
    <row r="56" spans="1:6" hidden="1" x14ac:dyDescent="0.3">
      <c r="A56" s="38" t="s">
        <v>45</v>
      </c>
      <c r="B56" s="38" t="s">
        <v>22</v>
      </c>
      <c r="C56" s="38" t="s">
        <v>148</v>
      </c>
      <c r="D56" s="38" t="s">
        <v>152</v>
      </c>
      <c r="E56" s="38" t="s">
        <v>66</v>
      </c>
      <c r="F56" s="38" t="s">
        <v>73</v>
      </c>
    </row>
    <row r="57" spans="1:6" hidden="1" x14ac:dyDescent="0.3">
      <c r="A57" s="38" t="s">
        <v>47</v>
      </c>
      <c r="B57" s="38" t="s">
        <v>199</v>
      </c>
      <c r="C57" s="38" t="s">
        <v>148</v>
      </c>
      <c r="D57" s="38" t="s">
        <v>156</v>
      </c>
      <c r="E57" s="38" t="s">
        <v>66</v>
      </c>
      <c r="F57" s="38" t="s">
        <v>73</v>
      </c>
    </row>
    <row r="58" spans="1:6" hidden="1" x14ac:dyDescent="0.3">
      <c r="A58" s="38" t="s">
        <v>200</v>
      </c>
      <c r="B58" s="38" t="s">
        <v>201</v>
      </c>
      <c r="C58" s="38" t="s">
        <v>60</v>
      </c>
      <c r="D58" s="38" t="s">
        <v>202</v>
      </c>
      <c r="E58" s="38" t="s">
        <v>66</v>
      </c>
      <c r="F58" s="38" t="s">
        <v>73</v>
      </c>
    </row>
    <row r="59" spans="1:6" hidden="1" x14ac:dyDescent="0.3">
      <c r="A59" s="38" t="s">
        <v>203</v>
      </c>
      <c r="B59" s="38" t="s">
        <v>114</v>
      </c>
      <c r="C59" s="38" t="s">
        <v>115</v>
      </c>
      <c r="D59" s="38" t="s">
        <v>204</v>
      </c>
      <c r="E59" s="38" t="s">
        <v>78</v>
      </c>
      <c r="F59" s="38" t="s">
        <v>73</v>
      </c>
    </row>
    <row r="60" spans="1:6" hidden="1" x14ac:dyDescent="0.3">
      <c r="A60" s="38" t="s">
        <v>205</v>
      </c>
      <c r="B60" s="38" t="s">
        <v>114</v>
      </c>
      <c r="C60" s="38" t="s">
        <v>115</v>
      </c>
      <c r="D60" s="38" t="s">
        <v>206</v>
      </c>
      <c r="E60" s="38" t="s">
        <v>78</v>
      </c>
      <c r="F60" s="38" t="s">
        <v>63</v>
      </c>
    </row>
    <row r="61" spans="1:6" hidden="1" x14ac:dyDescent="0.3">
      <c r="A61" s="38" t="s">
        <v>207</v>
      </c>
      <c r="B61" s="38" t="s">
        <v>208</v>
      </c>
      <c r="C61" s="38" t="s">
        <v>115</v>
      </c>
      <c r="D61" s="38" t="s">
        <v>209</v>
      </c>
      <c r="E61" s="38" t="s">
        <v>78</v>
      </c>
      <c r="F61" s="38" t="s">
        <v>73</v>
      </c>
    </row>
    <row r="62" spans="1:6" hidden="1" x14ac:dyDescent="0.3">
      <c r="A62" s="38" t="s">
        <v>210</v>
      </c>
      <c r="B62" s="38" t="s">
        <v>114</v>
      </c>
      <c r="C62" s="38" t="s">
        <v>115</v>
      </c>
      <c r="D62" s="38" t="s">
        <v>211</v>
      </c>
      <c r="E62" s="38" t="s">
        <v>78</v>
      </c>
      <c r="F62" s="38" t="s">
        <v>93</v>
      </c>
    </row>
    <row r="63" spans="1:6" hidden="1" x14ac:dyDescent="0.3">
      <c r="A63" s="38" t="s">
        <v>212</v>
      </c>
      <c r="B63" s="38" t="s">
        <v>41</v>
      </c>
      <c r="C63" s="38" t="s">
        <v>136</v>
      </c>
      <c r="D63" s="38" t="s">
        <v>196</v>
      </c>
      <c r="E63" s="38" t="s">
        <v>78</v>
      </c>
      <c r="F63" s="38" t="s">
        <v>73</v>
      </c>
    </row>
    <row r="64" spans="1:6" hidden="1" x14ac:dyDescent="0.3">
      <c r="A64" s="38" t="s">
        <v>50</v>
      </c>
      <c r="B64" s="38" t="s">
        <v>7</v>
      </c>
      <c r="C64" s="38" t="s">
        <v>163</v>
      </c>
      <c r="D64" s="38" t="s">
        <v>213</v>
      </c>
      <c r="E64" s="38" t="s">
        <v>66</v>
      </c>
      <c r="F64" s="38" t="s">
        <v>73</v>
      </c>
    </row>
    <row r="65" spans="1:6" hidden="1" x14ac:dyDescent="0.3">
      <c r="A65" s="38" t="s">
        <v>214</v>
      </c>
      <c r="B65" s="38" t="s">
        <v>215</v>
      </c>
      <c r="C65" s="38" t="s">
        <v>215</v>
      </c>
      <c r="D65" s="38" t="s">
        <v>216</v>
      </c>
      <c r="E65" s="38" t="s">
        <v>66</v>
      </c>
      <c r="F65" s="38" t="s">
        <v>63</v>
      </c>
    </row>
    <row r="66" spans="1:6" hidden="1" x14ac:dyDescent="0.3">
      <c r="A66" s="38" t="s">
        <v>217</v>
      </c>
      <c r="B66" s="38" t="s">
        <v>218</v>
      </c>
      <c r="C66" s="38" t="s">
        <v>115</v>
      </c>
      <c r="D66" s="38" t="s">
        <v>176</v>
      </c>
      <c r="E66" s="38" t="s">
        <v>78</v>
      </c>
      <c r="F66" s="38" t="s">
        <v>73</v>
      </c>
    </row>
    <row r="67" spans="1:6" hidden="1" x14ac:dyDescent="0.3">
      <c r="A67" s="38" t="s">
        <v>219</v>
      </c>
      <c r="B67" s="38" t="s">
        <v>114</v>
      </c>
      <c r="C67" s="38" t="s">
        <v>115</v>
      </c>
      <c r="D67" s="38" t="s">
        <v>220</v>
      </c>
      <c r="E67" s="38" t="s">
        <v>78</v>
      </c>
      <c r="F67" s="38" t="s">
        <v>63</v>
      </c>
    </row>
    <row r="68" spans="1:6" hidden="1" x14ac:dyDescent="0.3">
      <c r="A68" s="38" t="s">
        <v>221</v>
      </c>
      <c r="B68" s="38" t="s">
        <v>114</v>
      </c>
      <c r="C68" s="38" t="s">
        <v>115</v>
      </c>
      <c r="D68" s="38" t="s">
        <v>222</v>
      </c>
      <c r="E68" s="38" t="s">
        <v>78</v>
      </c>
      <c r="F68" s="38" t="s">
        <v>63</v>
      </c>
    </row>
    <row r="69" spans="1:6" hidden="1" x14ac:dyDescent="0.3">
      <c r="A69" s="38" t="s">
        <v>223</v>
      </c>
      <c r="B69" s="38" t="s">
        <v>114</v>
      </c>
      <c r="C69" s="38" t="s">
        <v>115</v>
      </c>
      <c r="D69" s="38" t="s">
        <v>18</v>
      </c>
      <c r="E69" s="38" t="s">
        <v>78</v>
      </c>
      <c r="F69" s="38" t="s">
        <v>73</v>
      </c>
    </row>
    <row r="70" spans="1:6" hidden="1" x14ac:dyDescent="0.3">
      <c r="A70" s="38" t="s">
        <v>53</v>
      </c>
      <c r="B70" s="38" t="s">
        <v>22</v>
      </c>
      <c r="C70" s="38" t="s">
        <v>148</v>
      </c>
      <c r="D70" s="38" t="s">
        <v>224</v>
      </c>
      <c r="E70" s="38" t="s">
        <v>66</v>
      </c>
      <c r="F70" s="38" t="s">
        <v>73</v>
      </c>
    </row>
    <row r="71" spans="1:6" hidden="1" x14ac:dyDescent="0.3">
      <c r="A71" s="38" t="s">
        <v>225</v>
      </c>
      <c r="B71" s="38" t="s">
        <v>215</v>
      </c>
      <c r="C71" s="38" t="s">
        <v>215</v>
      </c>
      <c r="D71" s="38" t="s">
        <v>226</v>
      </c>
      <c r="E71" s="38" t="s">
        <v>66</v>
      </c>
      <c r="F71" s="38" t="s">
        <v>63</v>
      </c>
    </row>
  </sheetData>
  <autoFilter ref="A1:F71" xr:uid="{B4F22683-2CC6-443D-A330-8B18D8442D45}">
    <filterColumn colId="0">
      <filters>
        <filter val="H1_TR/BCM_FORMATO ARCHIVO TXT BBVA (8000001516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5643-6A8A-44EB-8CE3-5479E0656DA5}">
  <dimension ref="A2:O31"/>
  <sheetViews>
    <sheetView showGridLines="0" topLeftCell="A7" workbookViewId="0">
      <selection activeCell="L15" sqref="L15"/>
    </sheetView>
  </sheetViews>
  <sheetFormatPr defaultColWidth="8.75" defaultRowHeight="14" x14ac:dyDescent="0.3"/>
  <cols>
    <col min="1" max="1" width="26.25" bestFit="1" customWidth="1"/>
    <col min="2" max="2" width="10.83203125" customWidth="1"/>
    <col min="3" max="3" width="3.58203125" customWidth="1"/>
    <col min="4" max="4" width="5.25" customWidth="1"/>
    <col min="5" max="5" width="3.75" customWidth="1"/>
    <col min="6" max="6" width="3.58203125" customWidth="1"/>
    <col min="7" max="7" width="3.83203125" customWidth="1"/>
    <col min="8" max="8" width="4.08203125" customWidth="1"/>
    <col min="9" max="9" width="6.33203125" customWidth="1"/>
    <col min="10" max="10" width="3.58203125" customWidth="1"/>
    <col min="11" max="11" width="3.5" customWidth="1"/>
    <col min="12" max="12" width="3.33203125" customWidth="1"/>
    <col min="13" max="13" width="5.58203125" customWidth="1"/>
    <col min="14" max="14" width="3.75" customWidth="1"/>
    <col min="15" max="15" width="11.5" customWidth="1"/>
    <col min="16" max="16" width="3.33203125" bestFit="1" customWidth="1"/>
    <col min="17" max="17" width="7.08203125" bestFit="1" customWidth="1"/>
    <col min="18" max="18" width="11.5" bestFit="1" customWidth="1"/>
  </cols>
  <sheetData>
    <row r="2" spans="1:15" ht="13.9" customHeight="1" x14ac:dyDescent="0.3">
      <c r="A2" s="78" t="s">
        <v>227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4" spans="1:15" x14ac:dyDescent="0.3">
      <c r="A4" s="3" t="s">
        <v>228</v>
      </c>
      <c r="B4" s="4" t="s">
        <v>229</v>
      </c>
    </row>
    <row r="6" spans="1:15" x14ac:dyDescent="0.3">
      <c r="A6" s="3" t="s">
        <v>230</v>
      </c>
      <c r="B6" s="3" t="s">
        <v>231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">
      <c r="A7" s="3" t="s">
        <v>0</v>
      </c>
      <c r="B7" s="4" t="s">
        <v>232</v>
      </c>
      <c r="C7" s="4" t="s">
        <v>233</v>
      </c>
      <c r="D7" s="4" t="s">
        <v>234</v>
      </c>
      <c r="E7" s="4" t="s">
        <v>235</v>
      </c>
      <c r="F7" s="4" t="s">
        <v>236</v>
      </c>
      <c r="G7" s="4" t="s">
        <v>237</v>
      </c>
      <c r="H7" s="4" t="s">
        <v>238</v>
      </c>
      <c r="I7" s="4" t="s">
        <v>239</v>
      </c>
      <c r="J7" s="4" t="s">
        <v>240</v>
      </c>
      <c r="K7" s="4" t="s">
        <v>241</v>
      </c>
      <c r="L7" s="4" t="s">
        <v>242</v>
      </c>
      <c r="M7" s="4" t="s">
        <v>243</v>
      </c>
      <c r="N7" s="4" t="s">
        <v>244</v>
      </c>
      <c r="O7" s="4" t="s">
        <v>56</v>
      </c>
    </row>
    <row r="8" spans="1:15" x14ac:dyDescent="0.3">
      <c r="A8" s="4" t="s">
        <v>73</v>
      </c>
      <c r="B8" s="4">
        <v>2</v>
      </c>
      <c r="C8" s="4">
        <v>3</v>
      </c>
      <c r="D8" s="4">
        <v>4</v>
      </c>
      <c r="E8" s="4">
        <v>3</v>
      </c>
      <c r="F8" s="4">
        <v>1</v>
      </c>
      <c r="G8" s="4">
        <v>5</v>
      </c>
      <c r="H8" s="4">
        <v>2</v>
      </c>
      <c r="I8" s="4"/>
      <c r="J8" s="4">
        <v>1</v>
      </c>
      <c r="K8" s="4">
        <v>3</v>
      </c>
      <c r="L8" s="4">
        <v>11</v>
      </c>
      <c r="M8" s="4">
        <v>4</v>
      </c>
      <c r="N8" s="4"/>
      <c r="O8" s="4">
        <v>39</v>
      </c>
    </row>
    <row r="9" spans="1:15" x14ac:dyDescent="0.3">
      <c r="A9" s="4" t="s">
        <v>67</v>
      </c>
      <c r="B9" s="4">
        <v>3</v>
      </c>
      <c r="C9" s="4">
        <v>1</v>
      </c>
      <c r="D9" s="4"/>
      <c r="E9" s="4"/>
      <c r="F9" s="4">
        <v>1</v>
      </c>
      <c r="G9" s="4">
        <v>1</v>
      </c>
      <c r="H9" s="4">
        <v>1</v>
      </c>
      <c r="I9" s="4">
        <v>1</v>
      </c>
      <c r="J9" s="4"/>
      <c r="K9" s="4">
        <v>1</v>
      </c>
      <c r="L9" s="4"/>
      <c r="M9" s="4"/>
      <c r="N9" s="4">
        <v>1</v>
      </c>
      <c r="O9" s="4">
        <v>10</v>
      </c>
    </row>
    <row r="10" spans="1:15" x14ac:dyDescent="0.3">
      <c r="A10" s="4" t="s">
        <v>56</v>
      </c>
      <c r="B10" s="4">
        <v>5</v>
      </c>
      <c r="C10" s="4">
        <v>4</v>
      </c>
      <c r="D10" s="4">
        <v>4</v>
      </c>
      <c r="E10" s="4">
        <v>3</v>
      </c>
      <c r="F10" s="4">
        <v>2</v>
      </c>
      <c r="G10" s="4">
        <v>6</v>
      </c>
      <c r="H10" s="4">
        <v>3</v>
      </c>
      <c r="I10" s="4">
        <v>1</v>
      </c>
      <c r="J10" s="4">
        <v>1</v>
      </c>
      <c r="K10" s="4">
        <v>4</v>
      </c>
      <c r="L10" s="4">
        <v>11</v>
      </c>
      <c r="M10" s="4">
        <v>4</v>
      </c>
      <c r="N10" s="4">
        <v>1</v>
      </c>
      <c r="O10" s="77">
        <v>49</v>
      </c>
    </row>
    <row r="13" spans="1:15" ht="13.9" customHeight="1" x14ac:dyDescent="0.3">
      <c r="A13" s="78" t="s">
        <v>245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</row>
    <row r="15" spans="1:15" x14ac:dyDescent="0.3">
      <c r="A15" s="3" t="s">
        <v>2</v>
      </c>
      <c r="B15" s="4" t="s">
        <v>229</v>
      </c>
    </row>
    <row r="17" spans="1:15" x14ac:dyDescent="0.3">
      <c r="A17" s="3" t="s">
        <v>230</v>
      </c>
      <c r="B17" s="3" t="s">
        <v>231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5" x14ac:dyDescent="0.3">
      <c r="A18" s="3" t="s">
        <v>0</v>
      </c>
      <c r="B18" s="4" t="s">
        <v>234</v>
      </c>
      <c r="C18" s="4" t="s">
        <v>246</v>
      </c>
      <c r="D18" s="4" t="s">
        <v>247</v>
      </c>
      <c r="E18" s="4" t="s">
        <v>235</v>
      </c>
      <c r="F18" s="4" t="s">
        <v>236</v>
      </c>
      <c r="G18" s="4" t="s">
        <v>237</v>
      </c>
      <c r="H18" s="4" t="s">
        <v>238</v>
      </c>
      <c r="I18" s="4" t="s">
        <v>240</v>
      </c>
      <c r="J18" s="4" t="s">
        <v>241</v>
      </c>
      <c r="K18" s="4" t="s">
        <v>242</v>
      </c>
      <c r="L18" s="4" t="s">
        <v>56</v>
      </c>
    </row>
    <row r="19" spans="1:15" x14ac:dyDescent="0.3">
      <c r="A19" s="4" t="s">
        <v>63</v>
      </c>
      <c r="B19" s="4"/>
      <c r="C19" s="4">
        <v>1</v>
      </c>
      <c r="D19" s="4">
        <v>1</v>
      </c>
      <c r="E19" s="4">
        <v>2</v>
      </c>
      <c r="F19" s="4"/>
      <c r="G19" s="4">
        <v>6</v>
      </c>
      <c r="H19" s="4"/>
      <c r="I19" s="4">
        <v>1</v>
      </c>
      <c r="J19" s="4"/>
      <c r="K19" s="4">
        <v>1</v>
      </c>
      <c r="L19" s="4">
        <v>12</v>
      </c>
    </row>
    <row r="20" spans="1:15" x14ac:dyDescent="0.3">
      <c r="A20" s="4" t="s">
        <v>93</v>
      </c>
      <c r="B20" s="4">
        <v>1</v>
      </c>
      <c r="C20" s="4"/>
      <c r="D20" s="4"/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/>
      <c r="L20" s="4">
        <v>7</v>
      </c>
    </row>
    <row r="21" spans="1:15" x14ac:dyDescent="0.3">
      <c r="A21" s="4" t="s">
        <v>56</v>
      </c>
      <c r="B21" s="4">
        <v>1</v>
      </c>
      <c r="C21" s="4">
        <v>1</v>
      </c>
      <c r="D21" s="4">
        <v>1</v>
      </c>
      <c r="E21" s="4">
        <v>3</v>
      </c>
      <c r="F21" s="4">
        <v>1</v>
      </c>
      <c r="G21" s="4">
        <v>7</v>
      </c>
      <c r="H21" s="4">
        <v>1</v>
      </c>
      <c r="I21" s="4">
        <v>2</v>
      </c>
      <c r="J21" s="4">
        <v>1</v>
      </c>
      <c r="K21" s="4">
        <v>1</v>
      </c>
      <c r="L21" s="77">
        <v>19</v>
      </c>
    </row>
    <row r="24" spans="1:15" ht="13.9" customHeight="1" x14ac:dyDescent="0.3">
      <c r="A24" s="78" t="s">
        <v>248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</row>
    <row r="25" spans="1:15" x14ac:dyDescent="0.3">
      <c r="A25" s="63" t="s">
        <v>249</v>
      </c>
      <c r="B25" t="s">
        <v>250</v>
      </c>
    </row>
    <row r="27" spans="1:15" x14ac:dyDescent="0.3">
      <c r="A27" s="3" t="s">
        <v>230</v>
      </c>
      <c r="B27" s="3" t="s">
        <v>231</v>
      </c>
      <c r="C27" s="4"/>
      <c r="D27" s="4"/>
      <c r="E27" s="4"/>
      <c r="F27" s="4"/>
      <c r="G27" s="4"/>
      <c r="H27" s="4"/>
      <c r="I27" s="4"/>
      <c r="J27" s="4"/>
    </row>
    <row r="28" spans="1:15" x14ac:dyDescent="0.3">
      <c r="A28" s="3" t="s">
        <v>0</v>
      </c>
      <c r="B28" s="4" t="s">
        <v>232</v>
      </c>
      <c r="C28" s="4" t="s">
        <v>233</v>
      </c>
      <c r="D28" s="4" t="s">
        <v>235</v>
      </c>
      <c r="E28" s="4" t="s">
        <v>236</v>
      </c>
      <c r="F28" s="4" t="s">
        <v>237</v>
      </c>
      <c r="G28" s="4" t="s">
        <v>238</v>
      </c>
      <c r="H28" s="4" t="s">
        <v>240</v>
      </c>
      <c r="I28" s="4" t="s">
        <v>242</v>
      </c>
      <c r="J28" s="4" t="s">
        <v>56</v>
      </c>
    </row>
    <row r="29" spans="1:15" x14ac:dyDescent="0.3">
      <c r="A29" s="4" t="s">
        <v>73</v>
      </c>
      <c r="B29" s="4">
        <v>1</v>
      </c>
      <c r="C29" s="4">
        <v>2</v>
      </c>
      <c r="D29" s="4">
        <v>2</v>
      </c>
      <c r="E29" s="4">
        <v>1</v>
      </c>
      <c r="F29" s="4">
        <v>4</v>
      </c>
      <c r="G29" s="4">
        <v>2</v>
      </c>
      <c r="H29" s="4">
        <v>1</v>
      </c>
      <c r="I29" s="4">
        <v>10</v>
      </c>
      <c r="J29" s="4">
        <v>23</v>
      </c>
    </row>
    <row r="30" spans="1:15" x14ac:dyDescent="0.3">
      <c r="A30" s="4" t="s">
        <v>67</v>
      </c>
      <c r="B30" s="4"/>
      <c r="C30" s="4">
        <v>1</v>
      </c>
      <c r="D30" s="4"/>
      <c r="E30" s="4"/>
      <c r="F30" s="4"/>
      <c r="G30" s="4">
        <v>1</v>
      </c>
      <c r="H30" s="4"/>
      <c r="I30" s="4"/>
      <c r="J30" s="4">
        <v>2</v>
      </c>
    </row>
    <row r="31" spans="1:15" x14ac:dyDescent="0.3">
      <c r="A31" s="4" t="s">
        <v>56</v>
      </c>
      <c r="B31" s="4">
        <v>1</v>
      </c>
      <c r="C31" s="4">
        <v>3</v>
      </c>
      <c r="D31" s="4">
        <v>2</v>
      </c>
      <c r="E31" s="4">
        <v>1</v>
      </c>
      <c r="F31" s="4">
        <v>4</v>
      </c>
      <c r="G31" s="4">
        <v>3</v>
      </c>
      <c r="H31" s="4">
        <v>1</v>
      </c>
      <c r="I31" s="4">
        <v>10</v>
      </c>
      <c r="J31" s="77">
        <v>25</v>
      </c>
    </row>
  </sheetData>
  <mergeCells count="3">
    <mergeCell ref="A2:O2"/>
    <mergeCell ref="A13:O13"/>
    <mergeCell ref="A24:O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outlinePr summaryBelow="0"/>
  </sheetPr>
  <dimension ref="A1:CP71"/>
  <sheetViews>
    <sheetView showGridLines="0" tabSelected="1" topLeftCell="E1" zoomScale="57" workbookViewId="0">
      <selection activeCell="G3" sqref="G3"/>
    </sheetView>
  </sheetViews>
  <sheetFormatPr defaultColWidth="8.75" defaultRowHeight="14.25" customHeight="1" x14ac:dyDescent="0.3"/>
  <cols>
    <col min="1" max="1" width="6.83203125" customWidth="1"/>
    <col min="2" max="2" width="58.08203125" customWidth="1"/>
    <col min="3" max="3" width="8.33203125" customWidth="1"/>
    <col min="4" max="4" width="9.08203125" customWidth="1"/>
    <col min="5" max="5" width="32.5" customWidth="1"/>
    <col min="6" max="6" width="37" customWidth="1"/>
    <col min="7" max="7" width="11.75" customWidth="1"/>
    <col min="8" max="8" width="13.33203125" customWidth="1"/>
    <col min="9" max="9" width="21.25" customWidth="1"/>
    <col min="10" max="10" width="19.83203125" customWidth="1"/>
    <col min="11" max="11" width="103" customWidth="1"/>
    <col min="12" max="12" width="15.83203125" customWidth="1"/>
    <col min="13" max="13" width="8.75" bestFit="1" customWidth="1"/>
  </cols>
  <sheetData>
    <row r="1" spans="1:94" s="60" customFormat="1" ht="80.25" customHeight="1" x14ac:dyDescent="0.3">
      <c r="A1" s="5" t="s">
        <v>251</v>
      </c>
      <c r="B1" s="5" t="s">
        <v>3</v>
      </c>
      <c r="C1" s="5" t="s">
        <v>231</v>
      </c>
      <c r="D1" s="5" t="s">
        <v>252</v>
      </c>
      <c r="E1" s="5" t="s">
        <v>4</v>
      </c>
      <c r="F1" s="5" t="s">
        <v>57</v>
      </c>
      <c r="G1" s="5" t="s">
        <v>5</v>
      </c>
      <c r="H1" s="5" t="s">
        <v>58</v>
      </c>
      <c r="I1" s="5" t="s">
        <v>0</v>
      </c>
      <c r="J1" s="5" t="s">
        <v>228</v>
      </c>
      <c r="K1" s="5" t="s">
        <v>253</v>
      </c>
      <c r="L1" s="5" t="s">
        <v>2</v>
      </c>
      <c r="M1" s="5" t="s">
        <v>249</v>
      </c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</row>
    <row r="2" spans="1:94" ht="12" customHeight="1" x14ac:dyDescent="0.3">
      <c r="A2" s="4">
        <v>1</v>
      </c>
      <c r="B2" s="9" t="s">
        <v>171</v>
      </c>
      <c r="C2" s="9" t="s">
        <v>238</v>
      </c>
      <c r="D2" s="27" t="s">
        <v>67</v>
      </c>
      <c r="E2" s="6" t="str">
        <f>+VLOOKUP(B2,informacion_extra!A:F,2,FALSE)</f>
        <v>Wilmar Vargas Preciado (174)</v>
      </c>
      <c r="F2" s="6" t="str">
        <f>+VLOOKUP(seguimiento_detalles_defecto!B2,informacion_extra!A:F,3,FALSE)</f>
        <v>MONICA PATRICIA GIRALDO PEREZ (192)</v>
      </c>
      <c r="G2" s="39" t="str">
        <f>+VLOOKUP(B2,informacion_extra!A:F,4,FALSE)</f>
        <v>4,54</v>
      </c>
      <c r="H2" s="39">
        <f>+VLOOKUP(B2,informacion_extra!A:F,5,FALSE)</f>
        <v>0</v>
      </c>
      <c r="I2" s="6" t="str">
        <f>+VLOOKUP(B2,informacion_extra!A:F,6,FALSE)</f>
        <v>Nuevo</v>
      </c>
      <c r="J2" s="8">
        <v>45755</v>
      </c>
      <c r="K2" s="4"/>
      <c r="L2" s="4" t="s">
        <v>254</v>
      </c>
      <c r="M2" t="s">
        <v>250</v>
      </c>
    </row>
    <row r="3" spans="1:94" ht="14" x14ac:dyDescent="0.3">
      <c r="A3" s="4">
        <v>2</v>
      </c>
      <c r="B3" s="9" t="s">
        <v>82</v>
      </c>
      <c r="C3" s="9" t="s">
        <v>233</v>
      </c>
      <c r="D3" s="27" t="s">
        <v>67</v>
      </c>
      <c r="E3" s="6" t="str">
        <f>+VLOOKUP(B3,informacion_extra!A:F,2,FALSE)</f>
        <v>Alberto Rivera Betancourt (822)</v>
      </c>
      <c r="F3" s="6" t="str">
        <f>+VLOOKUP(seguimiento_detalles_defecto!B3,informacion_extra!A:F,3,FALSE)</f>
        <v>SINDY CRISTINA ALZATE ARIAS (201)</v>
      </c>
      <c r="G3" s="39" t="str">
        <f>+VLOOKUP(B3,informacion_extra!A:F,4,FALSE)</f>
        <v>4,65</v>
      </c>
      <c r="H3" s="39" t="str">
        <f>+VLOOKUP(B3,informacion_extra!A:F,5,FALSE)</f>
        <v>Desarrollo</v>
      </c>
      <c r="I3" s="6" t="str">
        <f>+VLOOKUP(B3,informacion_extra!A:F,6,FALSE)</f>
        <v>Nuevo</v>
      </c>
      <c r="J3" s="4"/>
      <c r="K3" s="4"/>
      <c r="L3" s="4" t="s">
        <v>255</v>
      </c>
      <c r="M3" t="s">
        <v>250</v>
      </c>
    </row>
    <row r="4" spans="1:94" ht="14" x14ac:dyDescent="0.3">
      <c r="A4" s="4">
        <v>3</v>
      </c>
      <c r="B4" s="9" t="s">
        <v>134</v>
      </c>
      <c r="C4" s="9" t="s">
        <v>241</v>
      </c>
      <c r="D4" s="4" t="s">
        <v>67</v>
      </c>
      <c r="E4" s="6" t="str">
        <f>+VLOOKUP(B4,informacion_extra!A:F,2,FALSE)</f>
        <v>Nurky Castro (46)</v>
      </c>
      <c r="F4" s="6" t="str">
        <f>+VLOOKUP(seguimiento_detalles_defecto!B4,informacion_extra!A:F,3,FALSE)</f>
        <v>ANGELA PATRICIA PERDOMO (175)</v>
      </c>
      <c r="G4" s="39" t="str">
        <f>+VLOOKUP(B4,informacion_extra!A:F,4,FALSE)</f>
        <v>5,65</v>
      </c>
      <c r="H4" s="39" t="str">
        <f>+VLOOKUP(B4,informacion_extra!A:F,5,FALSE)</f>
        <v>Desarrollo</v>
      </c>
      <c r="I4" s="6" t="str">
        <f>+VLOOKUP(B4,informacion_extra!A:F,6,FALSE)</f>
        <v>En tratamiento</v>
      </c>
      <c r="J4" s="4"/>
      <c r="K4" s="4"/>
      <c r="L4" s="4" t="s">
        <v>255</v>
      </c>
    </row>
    <row r="5" spans="1:94" ht="14" x14ac:dyDescent="0.3">
      <c r="A5" s="4">
        <v>4</v>
      </c>
      <c r="B5" s="38" t="s">
        <v>200</v>
      </c>
      <c r="C5" s="32" t="s">
        <v>240</v>
      </c>
      <c r="D5" s="76" t="s">
        <v>67</v>
      </c>
      <c r="E5" s="6" t="str">
        <f>+VLOOKUP(B5,informacion_extra!A:F,2,FALSE)</f>
        <v>Pedro Emilio Jimenez Pabon (139)</v>
      </c>
      <c r="F5" s="22" t="str">
        <f>+VLOOKUP(seguimiento_detalles_defecto!B5,informacion_extra!A:F,3,FALSE)</f>
        <v>NATALIA EUGENIA RAMIREZ MOLINA (193)</v>
      </c>
      <c r="G5" s="30" t="str">
        <f>+VLOOKUP(B5,informacion_extra!A:F,4,FALSE)</f>
        <v>13,91</v>
      </c>
      <c r="H5" s="30" t="str">
        <f>+VLOOKUP(B5,informacion_extra!A:F,5,FALSE)</f>
        <v>Desarrollo</v>
      </c>
      <c r="I5" s="22" t="str">
        <f>+VLOOKUP(B5,informacion_extra!A:F,6,FALSE)</f>
        <v>En tratamiento</v>
      </c>
      <c r="J5" s="20"/>
      <c r="K5" s="20"/>
      <c r="L5" s="20" t="s">
        <v>256</v>
      </c>
      <c r="M5" t="s">
        <v>250</v>
      </c>
    </row>
    <row r="6" spans="1:94" ht="28" x14ac:dyDescent="0.3">
      <c r="A6" s="4">
        <v>5</v>
      </c>
      <c r="B6" s="44" t="s">
        <v>59</v>
      </c>
      <c r="C6" s="13" t="s">
        <v>240</v>
      </c>
      <c r="D6" s="13" t="s">
        <v>67</v>
      </c>
      <c r="E6" s="6" t="str">
        <f>+VLOOKUP(B6,informacion_extra!A:F,2,FALSE)</f>
        <v>NATALIA EUGENIA RAMIREZ MOLINA (193)</v>
      </c>
      <c r="F6" s="26" t="str">
        <f>+VLOOKUP(seguimiento_detalles_defecto!B6,informacion_extra!A:F,3,FALSE)</f>
        <v>NATALIA EUGENIA RAMIREZ MOLINA (193)</v>
      </c>
      <c r="G6" s="45" t="str">
        <f>+VLOOKUP(B6,informacion_extra!A:F,4,FALSE)</f>
        <v>14,62</v>
      </c>
      <c r="H6" s="45" t="str">
        <f>+VLOOKUP(B6,informacion_extra!A:F,5,FALSE)</f>
        <v>Roles y perfiles</v>
      </c>
      <c r="I6" s="26" t="str">
        <f>+VLOOKUP(B6,informacion_extra!A:F,6,FALSE)</f>
        <v>Acción responsable test</v>
      </c>
      <c r="J6" s="13"/>
      <c r="K6" s="46" t="s">
        <v>257</v>
      </c>
      <c r="L6" s="13" t="s">
        <v>258</v>
      </c>
    </row>
    <row r="7" spans="1:94" ht="14" x14ac:dyDescent="0.3">
      <c r="A7" s="4">
        <v>6</v>
      </c>
      <c r="B7" s="9" t="s">
        <v>69</v>
      </c>
      <c r="C7" s="4" t="s">
        <v>232</v>
      </c>
      <c r="D7" s="4" t="s">
        <v>67</v>
      </c>
      <c r="E7" s="6" t="str">
        <f>+VLOOKUP(B7,informacion_extra!A:F,2,FALSE)</f>
        <v>Natalia Manzaneda Palacios (258)</v>
      </c>
      <c r="F7" s="6" t="str">
        <f>+VLOOKUP(seguimiento_detalles_defecto!B7,informacion_extra!A:F,3,FALSE)</f>
        <v>ANA MILENA IBARBO GUTIERREZ (320)</v>
      </c>
      <c r="G7" s="39" t="str">
        <f>+VLOOKUP(B7,informacion_extra!A:F,4,FALSE)</f>
        <v>14,73</v>
      </c>
      <c r="H7" s="39">
        <f>+VLOOKUP(B7,informacion_extra!A:F,5,FALSE)</f>
        <v>0</v>
      </c>
      <c r="I7" s="6" t="str">
        <f>+VLOOKUP(B7,informacion_extra!A:F,6,FALSE)</f>
        <v>En tratamiento</v>
      </c>
      <c r="J7" s="4"/>
      <c r="K7" s="4"/>
      <c r="L7" s="4" t="s">
        <v>254</v>
      </c>
    </row>
    <row r="8" spans="1:94" ht="14" x14ac:dyDescent="0.3">
      <c r="A8" s="4">
        <v>7</v>
      </c>
      <c r="B8" s="26" t="s">
        <v>125</v>
      </c>
      <c r="C8" s="26" t="str">
        <f>+MID(B8,4,2)</f>
        <v>MM</v>
      </c>
      <c r="D8" s="26" t="s">
        <v>67</v>
      </c>
      <c r="E8" s="6" t="str">
        <f>+VLOOKUP(B8,informacion_extra!A:F,2,FALSE)</f>
        <v>PAOLA ANDREA JIMENEZ RODRIGUEZ (492)</v>
      </c>
      <c r="F8" s="26" t="str">
        <f>+VLOOKUP(seguimiento_detalles_defecto!B8,informacion_extra!A:F,3,FALSE)</f>
        <v>PAOLA ANDREA JIMENEZ RODRIGUEZ (492)</v>
      </c>
      <c r="G8" s="45" t="str">
        <f>+VLOOKUP(B8,informacion_extra!A:F,4,FALSE)</f>
        <v>18,96</v>
      </c>
      <c r="H8" s="45">
        <f>+VLOOKUP(B8,informacion_extra!A:F,5,FALSE)</f>
        <v>0</v>
      </c>
      <c r="I8" s="26" t="str">
        <f>+VLOOKUP(B8,informacion_extra!A:F,6,FALSE)</f>
        <v>Propuesta de solución</v>
      </c>
      <c r="J8" s="47"/>
      <c r="K8" s="47"/>
      <c r="L8" s="47" t="s">
        <v>259</v>
      </c>
    </row>
    <row r="9" spans="1:94" ht="14" x14ac:dyDescent="0.3">
      <c r="A9" s="4">
        <v>8</v>
      </c>
      <c r="B9" s="6" t="s">
        <v>74</v>
      </c>
      <c r="C9" s="6" t="str">
        <f>+MID(B9,4,2)</f>
        <v>AP</v>
      </c>
      <c r="D9" s="10" t="str">
        <f>+MID(B9,7,4)</f>
        <v>1236</v>
      </c>
      <c r="E9" s="6" t="str">
        <f>+VLOOKUP(B9,informacion_extra!A:F,2,FALSE)</f>
        <v>Wilmar Vargas Preciado (174)</v>
      </c>
      <c r="F9" s="6" t="str">
        <f>+VLOOKUP(seguimiento_detalles_defecto!B9,informacion_extra!A:F,3,FALSE)</f>
        <v>SINDY CRISTINA ALZATE ARIAS (201)</v>
      </c>
      <c r="G9" s="39" t="str">
        <f>+VLOOKUP(B9,informacion_extra!A:F,4,FALSE)</f>
        <v>18,98</v>
      </c>
      <c r="H9" s="39" t="str">
        <f>+VLOOKUP(B9,informacion_extra!A:F,5,FALSE)</f>
        <v>Configuración</v>
      </c>
      <c r="I9" s="6" t="str">
        <f>+VLOOKUP(B9,informacion_extra!A:F,6,FALSE)</f>
        <v>En tratamiento</v>
      </c>
      <c r="J9" s="64" t="s">
        <v>260</v>
      </c>
      <c r="K9" s="4"/>
      <c r="L9" s="4" t="s">
        <v>254</v>
      </c>
      <c r="M9" t="s">
        <v>250</v>
      </c>
    </row>
    <row r="10" spans="1:94" ht="14" x14ac:dyDescent="0.3">
      <c r="A10" s="4">
        <v>9</v>
      </c>
      <c r="B10" s="29" t="s">
        <v>91</v>
      </c>
      <c r="C10" s="22" t="s">
        <v>234</v>
      </c>
      <c r="D10" s="22">
        <v>1408</v>
      </c>
      <c r="E10" s="6" t="str">
        <f>+VLOOKUP(B10,informacion_extra!A:F,2,FALSE)</f>
        <v>MANUEL HERNANDO SANTA JARA (132)</v>
      </c>
      <c r="F10" s="22" t="str">
        <f>+VLOOKUP(seguimiento_detalles_defecto!B10,informacion_extra!A:F,3,FALSE)</f>
        <v>MANUEL HERNANDO SANTA JARA (132)</v>
      </c>
      <c r="G10" s="30" t="str">
        <f>+VLOOKUP(B10,informacion_extra!A:F,4,FALSE)</f>
        <v>19,60</v>
      </c>
      <c r="H10" s="30" t="str">
        <f>+VLOOKUP(B10,informacion_extra!A:F,5,FALSE)</f>
        <v>Desarrollo</v>
      </c>
      <c r="I10" s="22" t="str">
        <f>+VLOOKUP(B10,informacion_extra!A:F,6,FALSE)</f>
        <v>Propuesta de solución</v>
      </c>
      <c r="J10" s="33"/>
      <c r="K10" s="33" t="s">
        <v>112</v>
      </c>
      <c r="L10" s="20" t="s">
        <v>256</v>
      </c>
    </row>
    <row r="11" spans="1:94" ht="14" x14ac:dyDescent="0.3">
      <c r="A11" s="4">
        <v>10</v>
      </c>
      <c r="B11" s="14" t="s">
        <v>94</v>
      </c>
      <c r="C11" s="14" t="str">
        <f>+MID(B11,4,2)</f>
        <v>EW</v>
      </c>
      <c r="D11" s="14" t="s">
        <v>67</v>
      </c>
      <c r="E11" s="6" t="str">
        <f>+VLOOKUP(B11,informacion_extra!A:F,2,FALSE)</f>
        <v>GUSTAVO ADOLFO GARCIA TRUJILLO (393)</v>
      </c>
      <c r="F11" s="26" t="str">
        <f>+VLOOKUP(seguimiento_detalles_defecto!B11,informacion_extra!A:F,3,FALSE)</f>
        <v>GUSTAVO ADOLFO GARCIA TRUJILLO (393)</v>
      </c>
      <c r="G11" s="45" t="str">
        <f>+VLOOKUP(B11,informacion_extra!A:F,4,FALSE)</f>
        <v>19,61</v>
      </c>
      <c r="H11" s="45" t="str">
        <f>+VLOOKUP(B11,informacion_extra!A:F,5,FALSE)</f>
        <v>Funcionales</v>
      </c>
      <c r="I11" s="26" t="str">
        <f>+VLOOKUP(B11,informacion_extra!A:F,6,FALSE)</f>
        <v>Acción responsable test</v>
      </c>
      <c r="J11" s="13"/>
      <c r="K11" s="13"/>
      <c r="L11" s="13" t="s">
        <v>259</v>
      </c>
    </row>
    <row r="12" spans="1:94" ht="14" x14ac:dyDescent="0.3">
      <c r="A12" s="4">
        <v>11</v>
      </c>
      <c r="B12" s="9" t="s">
        <v>210</v>
      </c>
      <c r="C12" s="4" t="s">
        <v>237</v>
      </c>
      <c r="D12" s="70" t="str">
        <f>+MID(B12,7,4)</f>
        <v>1167</v>
      </c>
      <c r="E12" s="6" t="str">
        <f>+VLOOKUP(B12,informacion_extra!A:F,2,FALSE)</f>
        <v>Nicolas Sarmiento (218)</v>
      </c>
      <c r="F12" s="6" t="str">
        <f>+VLOOKUP(seguimiento_detalles_defecto!B12,informacion_extra!A:F,3,FALSE)</f>
        <v>DAMARIS BIVIANA MURCIA SABOYA (103)</v>
      </c>
      <c r="G12" s="39" t="str">
        <f>+VLOOKUP(B12,informacion_extra!A:F,4,FALSE)</f>
        <v>19,70</v>
      </c>
      <c r="H12" s="39" t="str">
        <f>+VLOOKUP(B12,informacion_extra!A:F,5,FALSE)</f>
        <v>Configuración</v>
      </c>
      <c r="I12" s="6" t="str">
        <f>+VLOOKUP(B12,informacion_extra!A:F,6,FALSE)</f>
        <v>Propuesta de solución</v>
      </c>
      <c r="J12" s="4" t="s">
        <v>93</v>
      </c>
      <c r="K12" s="4" t="s">
        <v>261</v>
      </c>
      <c r="L12" s="4" t="s">
        <v>255</v>
      </c>
    </row>
    <row r="13" spans="1:94" s="2" customFormat="1" ht="28" x14ac:dyDescent="0.3">
      <c r="A13" s="4">
        <v>12</v>
      </c>
      <c r="B13" s="40" t="s">
        <v>127</v>
      </c>
      <c r="C13" s="6" t="str">
        <f>+MID(B13,4,4)</f>
        <v>PAPM</v>
      </c>
      <c r="D13" s="6">
        <v>1294</v>
      </c>
      <c r="E13" s="6" t="str">
        <f>+VLOOKUP(B13,informacion_extra!A:F,2,FALSE)</f>
        <v>Raphael Gustavo Gimenes Trivaleti (219)</v>
      </c>
      <c r="F13" s="6" t="str">
        <f>+VLOOKUP(seguimiento_detalles_defecto!B13,informacion_extra!A:F,3,FALSE)</f>
        <v>JUAN DAVID VARGAS RESTREPO (127)</v>
      </c>
      <c r="G13" s="62" t="str">
        <f>+VLOOKUP(B13,informacion_extra!A:F,4,FALSE)</f>
        <v>19,73</v>
      </c>
      <c r="H13" s="39">
        <f>+VLOOKUP(B13,informacion_extra!A:F,5,FALSE)</f>
        <v>0</v>
      </c>
      <c r="I13" s="6" t="str">
        <f>+VLOOKUP(B13,informacion_extra!A:F,6,FALSE)</f>
        <v>Nuevo</v>
      </c>
      <c r="J13" s="15"/>
      <c r="K13" s="71" t="s">
        <v>262</v>
      </c>
      <c r="L13" s="4" t="s">
        <v>263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</row>
    <row r="14" spans="1:94" s="1" customFormat="1" ht="42" x14ac:dyDescent="0.3">
      <c r="A14" s="4">
        <v>13</v>
      </c>
      <c r="B14" s="9" t="s">
        <v>121</v>
      </c>
      <c r="C14" s="6" t="s">
        <v>238</v>
      </c>
      <c r="D14" s="10" t="s">
        <v>67</v>
      </c>
      <c r="E14" s="6" t="str">
        <f>+VLOOKUP(B14,informacion_extra!A:F,2,FALSE)</f>
        <v>GUSTAVO ESPINOSA (646)</v>
      </c>
      <c r="F14" s="6" t="str">
        <f>+VLOOKUP(seguimiento_detalles_defecto!B14,informacion_extra!A:F,3,FALSE)</f>
        <v>LUIS GERMAN PINEDA ARCILA (191)</v>
      </c>
      <c r="G14" s="39" t="str">
        <f>+VLOOKUP(B14,informacion_extra!A:F,4,FALSE)</f>
        <v>19,85</v>
      </c>
      <c r="H14" s="39" t="str">
        <f>+VLOOKUP(B14,informacion_extra!A:F,5,FALSE)</f>
        <v>Maestros</v>
      </c>
      <c r="I14" s="6" t="str">
        <f>+VLOOKUP(B14,informacion_extra!A:F,6,FALSE)</f>
        <v>En tratamiento</v>
      </c>
      <c r="J14" s="4"/>
      <c r="K14" s="19" t="s">
        <v>264</v>
      </c>
      <c r="L14" s="4" t="s">
        <v>254</v>
      </c>
      <c r="M14" t="s">
        <v>250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</row>
    <row r="15" spans="1:94" ht="14" x14ac:dyDescent="0.3">
      <c r="A15" s="4">
        <v>14</v>
      </c>
      <c r="B15" s="51" t="s">
        <v>131</v>
      </c>
      <c r="C15" s="9" t="s">
        <v>241</v>
      </c>
      <c r="D15" s="52" t="s">
        <v>67</v>
      </c>
      <c r="E15" s="6" t="str">
        <f>+VLOOKUP(B15,informacion_extra!A:F,2,FALSE)</f>
        <v>CAROLINA ECHEVERRI SANTA (783)</v>
      </c>
      <c r="F15" s="52" t="str">
        <f>+VLOOKUP(seguimiento_detalles_defecto!B15,informacion_extra!A:F,3,FALSE)</f>
        <v>CAROLINA ECHEVERRI SANTA (783)</v>
      </c>
      <c r="G15" s="36" t="str">
        <f>+VLOOKUP(B15,informacion_extra!A:F,4,FALSE)</f>
        <v>19,86</v>
      </c>
      <c r="H15" s="30" t="str">
        <f>+VLOOKUP(B15,informacion_extra!A:F,5,FALSE)</f>
        <v>Configuración</v>
      </c>
      <c r="I15" s="22" t="str">
        <f>+VLOOKUP(B15,informacion_extra!A:F,6,FALSE)</f>
        <v>Propuesta de solución</v>
      </c>
      <c r="J15" s="33">
        <v>45854</v>
      </c>
      <c r="K15" s="33"/>
      <c r="L15" s="20" t="s">
        <v>256</v>
      </c>
    </row>
    <row r="16" spans="1:94" ht="14" x14ac:dyDescent="0.3">
      <c r="A16" s="4">
        <v>15</v>
      </c>
      <c r="B16" s="48" t="s">
        <v>180</v>
      </c>
      <c r="C16" s="49" t="str">
        <f t="shared" ref="C16:C38" si="0">+MID(B16,4,2)</f>
        <v>GL</v>
      </c>
      <c r="D16" s="49">
        <v>724</v>
      </c>
      <c r="E16" s="6" t="str">
        <f>+VLOOKUP(B16,informacion_extra!A:F,2,FALSE)</f>
        <v>SANDRA JANET TAMAYO BEDOYA (199)</v>
      </c>
      <c r="F16" s="49" t="str">
        <f>+VLOOKUP(seguimiento_detalles_defecto!B16,informacion_extra!A:F,3,FALSE)</f>
        <v>SANDRA JANET TAMAYO BEDOYA (199)</v>
      </c>
      <c r="G16" s="50" t="str">
        <f>+VLOOKUP(B16,informacion_extra!A:F,4,FALSE)</f>
        <v>19,96</v>
      </c>
      <c r="H16" s="45" t="str">
        <f>+VLOOKUP(B16,informacion_extra!A:F,5,FALSE)</f>
        <v>Desarrollo</v>
      </c>
      <c r="I16" s="26" t="str">
        <f>+VLOOKUP(B16,informacion_extra!A:F,6,FALSE)</f>
        <v>Propuesta de solución</v>
      </c>
      <c r="J16" s="34">
        <v>45847</v>
      </c>
      <c r="K16" s="35"/>
      <c r="L16" s="13" t="s">
        <v>256</v>
      </c>
    </row>
    <row r="17" spans="1:94" ht="14" x14ac:dyDescent="0.3">
      <c r="A17" s="4">
        <v>16</v>
      </c>
      <c r="B17" s="9" t="s">
        <v>178</v>
      </c>
      <c r="C17" s="6" t="str">
        <f t="shared" si="0"/>
        <v>GL</v>
      </c>
      <c r="D17" s="10" t="str">
        <f>+MID(B17,7,4)</f>
        <v>1263</v>
      </c>
      <c r="E17" s="6" t="str">
        <f>+VLOOKUP(B17,informacion_extra!A:F,2,FALSE)</f>
        <v>John Alejandro Rodriguez (41)</v>
      </c>
      <c r="F17" s="6" t="str">
        <f>+VLOOKUP(seguimiento_detalles_defecto!B17,informacion_extra!A:F,3,FALSE)</f>
        <v>GLORIA ELENA AGUDELO ARENAS (181)</v>
      </c>
      <c r="G17" s="39" t="str">
        <f>+VLOOKUP(B17,informacion_extra!A:F,4,FALSE)</f>
        <v>19,98</v>
      </c>
      <c r="H17" s="39" t="str">
        <f>+VLOOKUP(B17,informacion_extra!A:F,5,FALSE)</f>
        <v>Desarrollo</v>
      </c>
      <c r="I17" s="6" t="str">
        <f>+VLOOKUP(B17,informacion_extra!A:F,6,FALSE)</f>
        <v>En tratamiento</v>
      </c>
      <c r="J17" s="65">
        <v>45870</v>
      </c>
      <c r="K17" s="4" t="s">
        <v>265</v>
      </c>
      <c r="L17" s="4" t="s">
        <v>255</v>
      </c>
      <c r="M17" t="s">
        <v>250</v>
      </c>
    </row>
    <row r="18" spans="1:94" ht="42" x14ac:dyDescent="0.3">
      <c r="A18" s="4">
        <v>17</v>
      </c>
      <c r="B18" s="53" t="s">
        <v>190</v>
      </c>
      <c r="C18" s="52" t="str">
        <f t="shared" si="0"/>
        <v>RE</v>
      </c>
      <c r="D18" s="52" t="s">
        <v>67</v>
      </c>
      <c r="E18" s="6" t="str">
        <f>+VLOOKUP(B18,informacion_extra!A:F,2,FALSE)</f>
        <v>NATALIA EUGENIA RAMIREZ MOLINA (193)</v>
      </c>
      <c r="F18" s="52" t="str">
        <f>+VLOOKUP(seguimiento_detalles_defecto!B18,informacion_extra!A:F,3,FALSE)</f>
        <v>NATALIA EUGENIA RAMIREZ MOLINA (193)</v>
      </c>
      <c r="G18" s="36" t="str">
        <f>+VLOOKUP(B18,informacion_extra!A:F,4,FALSE)</f>
        <v>20,59</v>
      </c>
      <c r="H18" s="30" t="str">
        <f>+VLOOKUP(B18,informacion_extra!A:F,5,FALSE)</f>
        <v>Configuración</v>
      </c>
      <c r="I18" s="22" t="str">
        <f>+VLOOKUP(B18,informacion_extra!A:F,6,FALSE)</f>
        <v>Propuesta de solución</v>
      </c>
      <c r="J18" s="28"/>
      <c r="K18" s="54" t="s">
        <v>266</v>
      </c>
      <c r="L18" s="20" t="s">
        <v>258</v>
      </c>
    </row>
    <row r="19" spans="1:94" ht="14" x14ac:dyDescent="0.3">
      <c r="A19" s="4">
        <v>18</v>
      </c>
      <c r="B19" s="22" t="s">
        <v>104</v>
      </c>
      <c r="C19" s="31" t="str">
        <f t="shared" si="0"/>
        <v>FM</v>
      </c>
      <c r="D19" s="22" t="str">
        <f>+MID(B19,7,4)</f>
        <v>1303</v>
      </c>
      <c r="E19" s="6" t="str">
        <f>+VLOOKUP(B19,informacion_extra!A:F,2,FALSE)</f>
        <v>ANA MILENA CHADID JARAMILLO (697)</v>
      </c>
      <c r="F19" s="22" t="str">
        <f>+VLOOKUP(seguimiento_detalles_defecto!B19,informacion_extra!A:F,3,FALSE)</f>
        <v>ANA MILENA CHADID JARAMILLO (697)</v>
      </c>
      <c r="G19" s="30" t="str">
        <f>+VLOOKUP(B19,informacion_extra!A:F,4,FALSE)</f>
        <v>20,62</v>
      </c>
      <c r="H19" s="30">
        <f>+VLOOKUP(B19,informacion_extra!A:F,5,FALSE)</f>
        <v>0</v>
      </c>
      <c r="I19" s="22" t="str">
        <f>+VLOOKUP(B19,informacion_extra!A:F,6,FALSE)</f>
        <v>Propuesta de solución</v>
      </c>
      <c r="J19" s="8">
        <v>45907</v>
      </c>
      <c r="K19" s="8"/>
      <c r="L19" s="4" t="s">
        <v>256</v>
      </c>
    </row>
    <row r="20" spans="1:94" ht="14" x14ac:dyDescent="0.3">
      <c r="A20" s="4">
        <v>19</v>
      </c>
      <c r="B20" s="6" t="s">
        <v>98</v>
      </c>
      <c r="C20" s="21" t="str">
        <f t="shared" si="0"/>
        <v>FI</v>
      </c>
      <c r="D20" s="6" t="str">
        <f>+MID(B20,7,4)</f>
        <v>1308</v>
      </c>
      <c r="E20" s="6" t="str">
        <f>+VLOOKUP(B20,informacion_extra!A:F,2,FALSE)</f>
        <v>ANA MILENA CHADID JARAMILLO (697)</v>
      </c>
      <c r="F20" s="22" t="str">
        <f>+VLOOKUP(seguimiento_detalles_defecto!B20,informacion_extra!A:F,3,FALSE)</f>
        <v>ANA MILENA CHADID JARAMILLO (697)</v>
      </c>
      <c r="G20" s="30" t="str">
        <f>+VLOOKUP(B20,informacion_extra!A:F,4,FALSE)</f>
        <v>20,64</v>
      </c>
      <c r="H20" s="30" t="str">
        <f>+VLOOKUP(B20,informacion_extra!A:F,5,FALSE)</f>
        <v>Legados</v>
      </c>
      <c r="I20" s="22" t="str">
        <f>+VLOOKUP(B20,informacion_extra!A:F,6,FALSE)</f>
        <v>Acción responsable test</v>
      </c>
      <c r="J20" s="4"/>
      <c r="K20" s="4"/>
      <c r="L20" s="4" t="s">
        <v>256</v>
      </c>
    </row>
    <row r="21" spans="1:94" ht="28" x14ac:dyDescent="0.3">
      <c r="A21" s="4">
        <v>20</v>
      </c>
      <c r="B21" s="6" t="s">
        <v>117</v>
      </c>
      <c r="C21" s="6" t="str">
        <f t="shared" si="0"/>
        <v>MM</v>
      </c>
      <c r="D21" s="10" t="str">
        <f>+MID(B21,7,4)</f>
        <v>1141</v>
      </c>
      <c r="E21" s="6" t="str">
        <f>+VLOOKUP(B21,informacion_extra!A:F,2,FALSE)</f>
        <v>GUSTAVO ESPINOSA (646)</v>
      </c>
      <c r="F21" s="6" t="str">
        <f>+VLOOKUP(seguimiento_detalles_defecto!B21,informacion_extra!A:F,3,FALSE)</f>
        <v>PAOLA ANDREA JIMENEZ RODRIGUEZ (492)</v>
      </c>
      <c r="G21" s="39" t="str">
        <f>+VLOOKUP(B21,informacion_extra!A:F,4,FALSE)</f>
        <v>20,75</v>
      </c>
      <c r="H21" s="39">
        <f>+VLOOKUP(B21,informacion_extra!A:F,5,FALSE)</f>
        <v>0</v>
      </c>
      <c r="I21" s="6" t="str">
        <f>+VLOOKUP(B21,informacion_extra!A:F,6,FALSE)</f>
        <v>En tratamiento</v>
      </c>
      <c r="J21" s="15"/>
      <c r="K21" s="19" t="s">
        <v>267</v>
      </c>
      <c r="L21" s="4" t="s">
        <v>254</v>
      </c>
      <c r="M21" t="s">
        <v>250</v>
      </c>
    </row>
    <row r="22" spans="1:94" ht="14" x14ac:dyDescent="0.3">
      <c r="A22" s="4">
        <v>21</v>
      </c>
      <c r="B22" s="9" t="s">
        <v>219</v>
      </c>
      <c r="C22" s="4" t="s">
        <v>237</v>
      </c>
      <c r="D22" s="6" t="str">
        <f>+MID(B22,7,4)</f>
        <v>1192</v>
      </c>
      <c r="E22" s="6" t="str">
        <f>+VLOOKUP(B22,informacion_extra!A:F,2,FALSE)</f>
        <v>Nicolas Sarmiento (218)</v>
      </c>
      <c r="F22" s="6" t="str">
        <f>+VLOOKUP(seguimiento_detalles_defecto!B22,informacion_extra!A:F,3,FALSE)</f>
        <v>DAMARIS BIVIANA MURCIA SABOYA (103)</v>
      </c>
      <c r="G22" s="39" t="str">
        <f>+VLOOKUP(B22,informacion_extra!A:F,4,FALSE)</f>
        <v>20,86</v>
      </c>
      <c r="H22" s="39" t="str">
        <f>+VLOOKUP(B22,informacion_extra!A:F,5,FALSE)</f>
        <v>Configuración</v>
      </c>
      <c r="I22" s="6" t="str">
        <f>+VLOOKUP(B22,informacion_extra!A:F,6,FALSE)</f>
        <v>Acción responsable test</v>
      </c>
      <c r="J22" s="4" t="s">
        <v>63</v>
      </c>
      <c r="K22" s="4" t="s">
        <v>268</v>
      </c>
      <c r="L22" s="4" t="s">
        <v>255</v>
      </c>
      <c r="M22" s="43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</row>
    <row r="23" spans="1:94" ht="14" x14ac:dyDescent="0.3">
      <c r="A23" s="4">
        <v>22</v>
      </c>
      <c r="B23" s="9" t="s">
        <v>221</v>
      </c>
      <c r="C23" s="4" t="s">
        <v>237</v>
      </c>
      <c r="D23" s="6" t="str">
        <f>+MID(B23,7,4)</f>
        <v>1193</v>
      </c>
      <c r="E23" s="6" t="str">
        <f>+VLOOKUP(B23,informacion_extra!A:F,2,FALSE)</f>
        <v>Nicolas Sarmiento (218)</v>
      </c>
      <c r="F23" s="6" t="str">
        <f>+VLOOKUP(seguimiento_detalles_defecto!B23,informacion_extra!A:F,3,FALSE)</f>
        <v>DAMARIS BIVIANA MURCIA SABOYA (103)</v>
      </c>
      <c r="G23" s="39" t="str">
        <f>+VLOOKUP(B23,informacion_extra!A:F,4,FALSE)</f>
        <v>20,87</v>
      </c>
      <c r="H23" s="39" t="str">
        <f>+VLOOKUP(B23,informacion_extra!A:F,5,FALSE)</f>
        <v>Configuración</v>
      </c>
      <c r="I23" s="6" t="str">
        <f>+VLOOKUP(B23,informacion_extra!A:F,6,FALSE)</f>
        <v>Acción responsable test</v>
      </c>
      <c r="J23" s="4" t="s">
        <v>63</v>
      </c>
      <c r="K23" s="4" t="s">
        <v>268</v>
      </c>
      <c r="L23" s="4" t="s">
        <v>255</v>
      </c>
    </row>
    <row r="24" spans="1:94" ht="14" x14ac:dyDescent="0.3">
      <c r="A24" s="4">
        <v>23</v>
      </c>
      <c r="B24" s="9" t="s">
        <v>187</v>
      </c>
      <c r="C24" s="4" t="s">
        <v>237</v>
      </c>
      <c r="D24" s="6" t="s">
        <v>67</v>
      </c>
      <c r="E24" s="6" t="str">
        <f>+VLOOKUP(B24,informacion_extra!A:F,2,FALSE)</f>
        <v>Nicolas Sarmiento (218)</v>
      </c>
      <c r="F24" s="6" t="str">
        <f>+VLOOKUP(seguimiento_detalles_defecto!B24,informacion_extra!A:F,3,FALSE)</f>
        <v>DAMARIS BIVIANA MURCIA SABOYA (103)</v>
      </c>
      <c r="G24" s="39" t="str">
        <f>+VLOOKUP(B24,informacion_extra!A:F,4,FALSE)</f>
        <v>20,89</v>
      </c>
      <c r="H24" s="39" t="str">
        <f>+VLOOKUP(B24,informacion_extra!A:F,5,FALSE)</f>
        <v>Configuración</v>
      </c>
      <c r="I24" s="6" t="str">
        <f>+VLOOKUP(B24,informacion_extra!A:F,6,FALSE)</f>
        <v>Acción responsable test</v>
      </c>
      <c r="J24" s="4" t="s">
        <v>63</v>
      </c>
      <c r="K24" s="7" t="s">
        <v>268</v>
      </c>
      <c r="L24" s="4" t="s">
        <v>255</v>
      </c>
    </row>
    <row r="25" spans="1:94" ht="14" x14ac:dyDescent="0.3">
      <c r="A25" s="4">
        <v>24</v>
      </c>
      <c r="B25" s="9" t="s">
        <v>189</v>
      </c>
      <c r="C25" s="4" t="s">
        <v>237</v>
      </c>
      <c r="D25" s="10" t="s">
        <v>67</v>
      </c>
      <c r="E25" s="6" t="str">
        <f>+VLOOKUP(B25,informacion_extra!A:F,2,FALSE)</f>
        <v>Nicolas Sarmiento (218)</v>
      </c>
      <c r="F25" s="6" t="str">
        <f>+VLOOKUP(seguimiento_detalles_defecto!B25,informacion_extra!A:F,3,FALSE)</f>
        <v>DAMARIS BIVIANA MURCIA SABOYA (103)</v>
      </c>
      <c r="G25" s="39" t="str">
        <f>+VLOOKUP(B25,informacion_extra!A:F,4,FALSE)</f>
        <v>20,89</v>
      </c>
      <c r="H25" s="39" t="str">
        <f>+VLOOKUP(B25,informacion_extra!A:F,5,FALSE)</f>
        <v>Configuración</v>
      </c>
      <c r="I25" s="6" t="str">
        <f>+VLOOKUP(B25,informacion_extra!A:F,6,FALSE)</f>
        <v>En tratamiento</v>
      </c>
      <c r="J25" s="7">
        <v>45849</v>
      </c>
      <c r="K25" s="7" t="s">
        <v>268</v>
      </c>
      <c r="L25" s="4" t="s">
        <v>255</v>
      </c>
      <c r="M25" t="s">
        <v>250</v>
      </c>
    </row>
    <row r="26" spans="1:94" ht="14" x14ac:dyDescent="0.3">
      <c r="A26" s="4">
        <v>25</v>
      </c>
      <c r="B26" s="9" t="s">
        <v>185</v>
      </c>
      <c r="C26" s="4" t="s">
        <v>237</v>
      </c>
      <c r="D26" s="6" t="s">
        <v>67</v>
      </c>
      <c r="E26" s="6" t="str">
        <f>+VLOOKUP(B26,informacion_extra!A:F,2,FALSE)</f>
        <v>Nicolas Sarmiento (218)</v>
      </c>
      <c r="F26" s="6" t="str">
        <f>+VLOOKUP(seguimiento_detalles_defecto!B26,informacion_extra!A:F,3,FALSE)</f>
        <v>DAMARIS BIVIANA MURCIA SABOYA (103)</v>
      </c>
      <c r="G26" s="39" t="str">
        <f>+VLOOKUP(B26,informacion_extra!A:F,4,FALSE)</f>
        <v>20,90</v>
      </c>
      <c r="H26" s="39" t="str">
        <f>+VLOOKUP(B26,informacion_extra!A:F,5,FALSE)</f>
        <v>Configuración</v>
      </c>
      <c r="I26" s="6" t="str">
        <f>+VLOOKUP(B26,informacion_extra!A:F,6,FALSE)</f>
        <v>Acción responsable test</v>
      </c>
      <c r="J26" s="4" t="s">
        <v>63</v>
      </c>
      <c r="K26" s="7" t="s">
        <v>268</v>
      </c>
      <c r="L26" s="4" t="s">
        <v>255</v>
      </c>
    </row>
    <row r="27" spans="1:94" ht="42" x14ac:dyDescent="0.3">
      <c r="A27" s="4">
        <v>26</v>
      </c>
      <c r="B27" s="9" t="s">
        <v>223</v>
      </c>
      <c r="C27" s="4" t="s">
        <v>237</v>
      </c>
      <c r="D27" s="6">
        <v>325</v>
      </c>
      <c r="E27" s="6" t="str">
        <f>+VLOOKUP(B27,informacion_extra!A:F,2,FALSE)</f>
        <v>Nicolas Sarmiento (218)</v>
      </c>
      <c r="F27" s="6" t="str">
        <f>+VLOOKUP(seguimiento_detalles_defecto!B27,informacion_extra!A:F,3,FALSE)</f>
        <v>DAMARIS BIVIANA MURCIA SABOYA (103)</v>
      </c>
      <c r="G27" s="39" t="str">
        <f>+VLOOKUP(B27,informacion_extra!A:F,4,FALSE)</f>
        <v>20,94</v>
      </c>
      <c r="H27" s="39" t="str">
        <f>+VLOOKUP(B27,informacion_extra!A:F,5,FALSE)</f>
        <v>Configuración</v>
      </c>
      <c r="I27" s="6" t="str">
        <f>+VLOOKUP(B27,informacion_extra!A:F,6,FALSE)</f>
        <v>En tratamiento</v>
      </c>
      <c r="J27" s="4"/>
      <c r="K27" s="41" t="s">
        <v>269</v>
      </c>
      <c r="L27" s="4" t="s">
        <v>255</v>
      </c>
    </row>
    <row r="28" spans="1:94" s="25" customFormat="1" ht="14" x14ac:dyDescent="0.3">
      <c r="A28" s="4">
        <v>27</v>
      </c>
      <c r="B28" s="68" t="s">
        <v>174</v>
      </c>
      <c r="C28" s="6" t="str">
        <f t="shared" si="0"/>
        <v>AP</v>
      </c>
      <c r="D28" s="10" t="str">
        <f>+MID(B28,7,4)</f>
        <v>1198</v>
      </c>
      <c r="E28" s="6" t="str">
        <f>+VLOOKUP(B28,informacion_extra!A:F,2,FALSE)</f>
        <v>Alberto Rivera Betancourt (822)</v>
      </c>
      <c r="F28" s="6" t="str">
        <f>+VLOOKUP(seguimiento_detalles_defecto!B28,informacion_extra!A:F,3,FALSE)</f>
        <v>PAULA ANDREA MERCADO FLOREZ (776)</v>
      </c>
      <c r="G28" s="39" t="str">
        <f>+VLOOKUP(B28,informacion_extra!A:F,4,FALSE)</f>
        <v>20,95</v>
      </c>
      <c r="H28" s="39" t="str">
        <f>+VLOOKUP(B28,informacion_extra!A:F,5,FALSE)</f>
        <v>Desarrollo</v>
      </c>
      <c r="I28" s="6" t="str">
        <f>+VLOOKUP(B28,informacion_extra!A:F,6,FALSE)</f>
        <v>En tratamiento</v>
      </c>
      <c r="J28" s="15">
        <v>45853</v>
      </c>
      <c r="K28" s="23"/>
      <c r="L28" s="4" t="s">
        <v>255</v>
      </c>
      <c r="M28" t="s">
        <v>250</v>
      </c>
    </row>
    <row r="29" spans="1:94" ht="14" x14ac:dyDescent="0.3">
      <c r="A29" s="4">
        <v>28</v>
      </c>
      <c r="B29" s="6" t="s">
        <v>217</v>
      </c>
      <c r="C29" s="4" t="s">
        <v>237</v>
      </c>
      <c r="D29" s="10">
        <v>674</v>
      </c>
      <c r="E29" s="6" t="str">
        <f>+VLOOKUP(B29,informacion_extra!A:F,2,FALSE)</f>
        <v>Gustavo Marques Cussioli  (244)</v>
      </c>
      <c r="F29" s="6" t="str">
        <f>+VLOOKUP(seguimiento_detalles_defecto!B29,informacion_extra!A:F,3,FALSE)</f>
        <v>DAMARIS BIVIANA MURCIA SABOYA (103)</v>
      </c>
      <c r="G29" s="39" t="str">
        <f>+VLOOKUP(B29,informacion_extra!A:F,4,FALSE)</f>
        <v>20,95</v>
      </c>
      <c r="H29" s="39" t="str">
        <f>+VLOOKUP(B29,informacion_extra!A:F,5,FALSE)</f>
        <v>Configuración</v>
      </c>
      <c r="I29" s="6" t="str">
        <f>+VLOOKUP(B29,informacion_extra!A:F,6,FALSE)</f>
        <v>En tratamiento</v>
      </c>
      <c r="J29" s="27" t="s">
        <v>270</v>
      </c>
      <c r="K29" s="42" t="s">
        <v>271</v>
      </c>
      <c r="L29" s="4" t="s">
        <v>255</v>
      </c>
      <c r="M29" t="s">
        <v>250</v>
      </c>
    </row>
    <row r="30" spans="1:94" ht="56" x14ac:dyDescent="0.3">
      <c r="A30" s="4">
        <v>29</v>
      </c>
      <c r="B30" s="9" t="s">
        <v>203</v>
      </c>
      <c r="C30" s="4" t="s">
        <v>237</v>
      </c>
      <c r="D30" s="10" t="str">
        <f t="shared" ref="D30:D34" si="1">+MID(B30,7,4)</f>
        <v>1090</v>
      </c>
      <c r="E30" s="6" t="str">
        <f>+VLOOKUP(B30,informacion_extra!A:F,2,FALSE)</f>
        <v>Nicolas Sarmiento (218)</v>
      </c>
      <c r="F30" s="6" t="str">
        <f>+VLOOKUP(seguimiento_detalles_defecto!B30,informacion_extra!A:F,3,FALSE)</f>
        <v>DAMARIS BIVIANA MURCIA SABOYA (103)</v>
      </c>
      <c r="G30" s="39" t="str">
        <f>+VLOOKUP(B30,informacion_extra!A:F,4,FALSE)</f>
        <v>20,96</v>
      </c>
      <c r="H30" s="39" t="str">
        <f>+VLOOKUP(B30,informacion_extra!A:F,5,FALSE)</f>
        <v>Configuración</v>
      </c>
      <c r="I30" s="6" t="str">
        <f>+VLOOKUP(B30,informacion_extra!A:F,6,FALSE)</f>
        <v>En tratamiento</v>
      </c>
      <c r="J30" s="7"/>
      <c r="K30" s="11" t="s">
        <v>272</v>
      </c>
      <c r="L30" s="4" t="s">
        <v>255</v>
      </c>
      <c r="M30" t="s">
        <v>250</v>
      </c>
    </row>
    <row r="31" spans="1:94" ht="14" x14ac:dyDescent="0.3">
      <c r="A31" s="4">
        <v>30</v>
      </c>
      <c r="B31" s="9" t="s">
        <v>205</v>
      </c>
      <c r="C31" s="4" t="s">
        <v>237</v>
      </c>
      <c r="D31" s="6" t="str">
        <f t="shared" si="1"/>
        <v>1094</v>
      </c>
      <c r="E31" s="6" t="str">
        <f>+VLOOKUP(B31,informacion_extra!A:F,2,FALSE)</f>
        <v>Nicolas Sarmiento (218)</v>
      </c>
      <c r="F31" s="6" t="str">
        <f>+VLOOKUP(seguimiento_detalles_defecto!B31,informacion_extra!A:F,3,FALSE)</f>
        <v>DAMARIS BIVIANA MURCIA SABOYA (103)</v>
      </c>
      <c r="G31" s="39" t="str">
        <f>+VLOOKUP(B31,informacion_extra!A:F,4,FALSE)</f>
        <v>20,97</v>
      </c>
      <c r="H31" s="39" t="str">
        <f>+VLOOKUP(B31,informacion_extra!A:F,5,FALSE)</f>
        <v>Configuración</v>
      </c>
      <c r="I31" s="6" t="str">
        <f>+VLOOKUP(B31,informacion_extra!A:F,6,FALSE)</f>
        <v>Acción responsable test</v>
      </c>
      <c r="J31" s="4" t="s">
        <v>63</v>
      </c>
      <c r="K31" s="12" t="s">
        <v>268</v>
      </c>
      <c r="L31" s="4" t="s">
        <v>255</v>
      </c>
    </row>
    <row r="32" spans="1:94" ht="28" x14ac:dyDescent="0.3">
      <c r="A32" s="4">
        <v>31</v>
      </c>
      <c r="B32" s="9" t="s">
        <v>207</v>
      </c>
      <c r="C32" s="4" t="s">
        <v>237</v>
      </c>
      <c r="D32" s="10" t="str">
        <f t="shared" si="1"/>
        <v>1101</v>
      </c>
      <c r="E32" s="6" t="str">
        <f>+VLOOKUP(B32,informacion_extra!A:F,2,FALSE)</f>
        <v>Carlos Martins de Lima (778)</v>
      </c>
      <c r="F32" s="6" t="str">
        <f>+VLOOKUP(seguimiento_detalles_defecto!B32,informacion_extra!A:F,3,FALSE)</f>
        <v>DAMARIS BIVIANA MURCIA SABOYA (103)</v>
      </c>
      <c r="G32" s="39" t="str">
        <f>+VLOOKUP(B32,informacion_extra!A:F,4,FALSE)</f>
        <v>20,99</v>
      </c>
      <c r="H32" s="39" t="str">
        <f>+VLOOKUP(B32,informacion_extra!A:F,5,FALSE)</f>
        <v>Configuración</v>
      </c>
      <c r="I32" s="6" t="str">
        <f>+VLOOKUP(B32,informacion_extra!A:F,6,FALSE)</f>
        <v>En tratamiento</v>
      </c>
      <c r="J32" s="4"/>
      <c r="K32" s="41" t="s">
        <v>273</v>
      </c>
      <c r="L32" s="4" t="s">
        <v>255</v>
      </c>
      <c r="M32" t="s">
        <v>250</v>
      </c>
    </row>
    <row r="33" spans="1:13" ht="14" x14ac:dyDescent="0.3">
      <c r="A33" s="4">
        <v>32</v>
      </c>
      <c r="B33" s="9" t="s">
        <v>183</v>
      </c>
      <c r="C33" s="4" t="s">
        <v>237</v>
      </c>
      <c r="D33" s="6" t="str">
        <f t="shared" si="1"/>
        <v>1300</v>
      </c>
      <c r="E33" s="6" t="str">
        <f>+VLOOKUP(B33,informacion_extra!A:F,2,FALSE)</f>
        <v>Nicolas Sarmiento (218)</v>
      </c>
      <c r="F33" s="6" t="str">
        <f>+VLOOKUP(seguimiento_detalles_defecto!B33,informacion_extra!A:F,3,FALSE)</f>
        <v>DAMARIS BIVIANA MURCIA SABOYA (103)</v>
      </c>
      <c r="G33" s="39" t="str">
        <f>+VLOOKUP(B33,informacion_extra!A:F,4,FALSE)</f>
        <v>21,00</v>
      </c>
      <c r="H33" s="39" t="str">
        <f>+VLOOKUP(B33,informacion_extra!A:F,5,FALSE)</f>
        <v>Configuración</v>
      </c>
      <c r="I33" s="6" t="str">
        <f>+VLOOKUP(B33,informacion_extra!A:F,6,FALSE)</f>
        <v>Acción responsable test</v>
      </c>
      <c r="J33" s="4" t="s">
        <v>63</v>
      </c>
      <c r="K33" s="4"/>
      <c r="L33" s="4" t="s">
        <v>255</v>
      </c>
    </row>
    <row r="34" spans="1:13" ht="14" x14ac:dyDescent="0.3">
      <c r="A34" s="4">
        <v>33</v>
      </c>
      <c r="B34" s="9" t="s">
        <v>35</v>
      </c>
      <c r="C34" s="6" t="str">
        <f t="shared" si="0"/>
        <v>FM</v>
      </c>
      <c r="D34" s="75" t="str">
        <f t="shared" si="1"/>
        <v xml:space="preserve">758 </v>
      </c>
      <c r="E34" s="6" t="str">
        <f>+VLOOKUP(B34,informacion_extra!A:F,2,FALSE)</f>
        <v>Jenny Carolina Suarez (101)</v>
      </c>
      <c r="F34" s="6" t="str">
        <f>+VLOOKUP(seguimiento_detalles_defecto!B34,informacion_extra!A:F,3,FALSE)</f>
        <v>MISAEL ENRIQUE ARAUJO DIAZ (701)</v>
      </c>
      <c r="G34" s="39" t="str">
        <f>+VLOOKUP(B34,informacion_extra!A:F,4,FALSE)</f>
        <v>21,49</v>
      </c>
      <c r="H34" s="39" t="str">
        <f>+VLOOKUP(B34,informacion_extra!A:F,5,FALSE)</f>
        <v>Desarrollo</v>
      </c>
      <c r="I34" s="6" t="str">
        <f>+VLOOKUP(B34,informacion_extra!A:F,6,FALSE)</f>
        <v>En tratamiento</v>
      </c>
      <c r="J34" s="4"/>
      <c r="K34" s="4" t="s">
        <v>274</v>
      </c>
      <c r="L34" s="4" t="s">
        <v>255</v>
      </c>
      <c r="M34" t="s">
        <v>250</v>
      </c>
    </row>
    <row r="35" spans="1:13" ht="14" x14ac:dyDescent="0.3">
      <c r="A35" s="4">
        <v>34</v>
      </c>
      <c r="B35" s="9" t="s">
        <v>50</v>
      </c>
      <c r="C35" s="6" t="str">
        <f t="shared" si="0"/>
        <v>AA</v>
      </c>
      <c r="D35" s="10">
        <v>668</v>
      </c>
      <c r="E35" s="6" t="str">
        <f>+VLOOKUP(B35,informacion_extra!A:F,2,FALSE)</f>
        <v>Oscar Mauricio Parada (49)</v>
      </c>
      <c r="F35" s="6" t="str">
        <f>+VLOOKUP(seguimiento_detalles_defecto!B35,informacion_extra!A:F,3,FALSE)</f>
        <v>LEIDY FABIOLA CARDENAS SUAREZ (188)</v>
      </c>
      <c r="G35" s="39" t="str">
        <f>+VLOOKUP(B35,informacion_extra!A:F,4,FALSE)</f>
        <v>21,62</v>
      </c>
      <c r="H35" s="39" t="str">
        <f>+VLOOKUP(B35,informacion_extra!A:F,5,FALSE)</f>
        <v>Desarrollo</v>
      </c>
      <c r="I35" s="6" t="str">
        <f>+VLOOKUP(B35,informacion_extra!A:F,6,FALSE)</f>
        <v>En tratamiento</v>
      </c>
      <c r="J35" s="66">
        <v>45867</v>
      </c>
      <c r="K35" s="4"/>
      <c r="L35" s="4" t="s">
        <v>255</v>
      </c>
      <c r="M35" t="s">
        <v>250</v>
      </c>
    </row>
    <row r="36" spans="1:13" ht="28" x14ac:dyDescent="0.3">
      <c r="A36" s="4">
        <v>35</v>
      </c>
      <c r="B36" s="6" t="s">
        <v>32</v>
      </c>
      <c r="C36" s="6" t="str">
        <f t="shared" si="0"/>
        <v>TX</v>
      </c>
      <c r="D36" s="10" t="str">
        <f>+MID(B36,7,4)</f>
        <v>1248</v>
      </c>
      <c r="E36" s="6" t="str">
        <f>+VLOOKUP(B36,informacion_extra!A:F,2,FALSE)</f>
        <v>Raphael Gustavo Gimenes Trivaleti (219)</v>
      </c>
      <c r="F36" s="6" t="str">
        <f>+VLOOKUP(seguimiento_detalles_defecto!B36,informacion_extra!A:F,3,FALSE)</f>
        <v>ELIZABETH MARIA HERNANDEZ RUEDA (767)</v>
      </c>
      <c r="G36" s="39" t="str">
        <f>+VLOOKUP(B36,informacion_extra!A:F,4,FALSE)</f>
        <v>21,63</v>
      </c>
      <c r="H36" s="39" t="str">
        <f>+VLOOKUP(B36,informacion_extra!A:F,5,FALSE)</f>
        <v>Desarrollo</v>
      </c>
      <c r="I36" s="6" t="str">
        <f>+VLOOKUP(B36,informacion_extra!A:F,6,FALSE)</f>
        <v>En tratamiento</v>
      </c>
      <c r="J36" s="67">
        <v>45877</v>
      </c>
      <c r="K36" s="19" t="s">
        <v>275</v>
      </c>
      <c r="L36" s="4" t="s">
        <v>255</v>
      </c>
      <c r="M36" t="s">
        <v>250</v>
      </c>
    </row>
    <row r="37" spans="1:13" ht="42" x14ac:dyDescent="0.3">
      <c r="A37" s="4">
        <v>36</v>
      </c>
      <c r="B37" s="6" t="s">
        <v>16</v>
      </c>
      <c r="C37" s="6" t="str">
        <f t="shared" si="0"/>
        <v>FM</v>
      </c>
      <c r="D37" s="10" t="str">
        <f>+MID(B37,7,4)</f>
        <v>1231</v>
      </c>
      <c r="E37" s="6" t="str">
        <f>+VLOOKUP(B37,informacion_extra!A:F,2,FALSE)</f>
        <v>Lina María Rodríguez Bailón (171)</v>
      </c>
      <c r="F37" s="6" t="str">
        <f>+VLOOKUP(seguimiento_detalles_defecto!B37,informacion_extra!A:F,3,FALSE)</f>
        <v>MISAEL ENRIQUE ARAUJO DIAZ (701)</v>
      </c>
      <c r="G37" s="39" t="str">
        <f>+VLOOKUP(B37,informacion_extra!A:F,4,FALSE)</f>
        <v>21,74</v>
      </c>
      <c r="H37" s="39" t="str">
        <f>+VLOOKUP(B37,informacion_extra!A:F,5,FALSE)</f>
        <v>Desarrollo</v>
      </c>
      <c r="I37" s="6" t="str">
        <f>+VLOOKUP(B37,informacion_extra!A:F,6,FALSE)</f>
        <v>En tratamiento</v>
      </c>
      <c r="J37" s="27" t="s">
        <v>276</v>
      </c>
      <c r="K37" s="18" t="s">
        <v>277</v>
      </c>
      <c r="L37" s="4" t="s">
        <v>255</v>
      </c>
      <c r="M37" t="s">
        <v>250</v>
      </c>
    </row>
    <row r="38" spans="1:13" ht="28" x14ac:dyDescent="0.3">
      <c r="A38" s="4">
        <v>37</v>
      </c>
      <c r="B38" s="9" t="s">
        <v>53</v>
      </c>
      <c r="C38" s="6" t="str">
        <f t="shared" si="0"/>
        <v>TX</v>
      </c>
      <c r="D38" s="10" t="str">
        <f>+MID(B38,7,4)</f>
        <v>630_</v>
      </c>
      <c r="E38" s="6" t="str">
        <f>+VLOOKUP(B38,informacion_extra!A:F,2,FALSE)</f>
        <v>Ana Maria Brito Llerena (151)</v>
      </c>
      <c r="F38" s="6" t="str">
        <f>+VLOOKUP(seguimiento_detalles_defecto!B38,informacion_extra!A:F,3,FALSE)</f>
        <v>LINA MARIA SANCHEZ ESCOBAR (771)</v>
      </c>
      <c r="G38" s="39" t="str">
        <f>+VLOOKUP(B38,informacion_extra!A:F,4,FALSE)</f>
        <v>22,83</v>
      </c>
      <c r="H38" s="39" t="str">
        <f>+VLOOKUP(B38,informacion_extra!A:F,5,FALSE)</f>
        <v>Desarrollo</v>
      </c>
      <c r="I38" s="6" t="str">
        <f>+VLOOKUP(B38,informacion_extra!A:F,6,FALSE)</f>
        <v>En tratamiento</v>
      </c>
      <c r="J38" s="69" t="s">
        <v>278</v>
      </c>
      <c r="K38" s="19" t="s">
        <v>279</v>
      </c>
      <c r="L38" s="4" t="s">
        <v>255</v>
      </c>
      <c r="M38" t="s">
        <v>250</v>
      </c>
    </row>
    <row r="39" spans="1:13" ht="28" x14ac:dyDescent="0.3">
      <c r="A39" s="4">
        <v>38</v>
      </c>
      <c r="B39" s="9" t="s">
        <v>161</v>
      </c>
      <c r="C39" s="27" t="s">
        <v>242</v>
      </c>
      <c r="D39" s="27" t="s">
        <v>67</v>
      </c>
      <c r="E39" s="6" t="str">
        <f>+VLOOKUP(B39,informacion_extra!A:F,2,FALSE)</f>
        <v>Diana Carolina Sanchez Aguirre (165)</v>
      </c>
      <c r="F39" s="6" t="str">
        <f>+VLOOKUP(seguimiento_detalles_defecto!B39,informacion_extra!A:F,3,FALSE)</f>
        <v>LEIDY FABIOLA CARDENAS SUAREZ (188)</v>
      </c>
      <c r="G39" s="39" t="str">
        <f>+VLOOKUP(B39,informacion_extra!A:F,4,FALSE)</f>
        <v>5,87</v>
      </c>
      <c r="H39" s="39">
        <f>+VLOOKUP(B39,informacion_extra!A:F,5,FALSE)</f>
        <v>0</v>
      </c>
      <c r="I39" s="6" t="s">
        <v>93</v>
      </c>
      <c r="J39" s="4"/>
      <c r="K39" s="18" t="s">
        <v>280</v>
      </c>
      <c r="L39" s="4" t="s">
        <v>263</v>
      </c>
      <c r="M39" t="s">
        <v>250</v>
      </c>
    </row>
    <row r="40" spans="1:13" ht="28" x14ac:dyDescent="0.3">
      <c r="A40" s="4">
        <v>39</v>
      </c>
      <c r="B40" s="9" t="s">
        <v>165</v>
      </c>
      <c r="C40" s="27" t="s">
        <v>242</v>
      </c>
      <c r="D40" s="27" t="s">
        <v>67</v>
      </c>
      <c r="E40" s="6" t="str">
        <f>+VLOOKUP(B40,informacion_extra!A:F,2,FALSE)</f>
        <v>Diana Carolina Sanchez Aguirre (165)</v>
      </c>
      <c r="F40" s="6" t="str">
        <f>+VLOOKUP(seguimiento_detalles_defecto!B40,informacion_extra!A:F,3,FALSE)</f>
        <v>LEIDY FABIOLA CARDENAS SUAREZ (188)</v>
      </c>
      <c r="G40" s="39" t="str">
        <f>+VLOOKUP(B40,informacion_extra!A:F,4,FALSE)</f>
        <v>5,87</v>
      </c>
      <c r="H40" s="39">
        <f>+VLOOKUP(B40,informacion_extra!A:F,5,FALSE)</f>
        <v>0</v>
      </c>
      <c r="I40" s="6" t="s">
        <v>93</v>
      </c>
      <c r="J40" s="4"/>
      <c r="K40" s="18" t="s">
        <v>280</v>
      </c>
      <c r="L40" s="4" t="s">
        <v>263</v>
      </c>
      <c r="M40" t="s">
        <v>250</v>
      </c>
    </row>
    <row r="41" spans="1:13" ht="14.25" customHeight="1" x14ac:dyDescent="0.3">
      <c r="A41" s="4">
        <v>40</v>
      </c>
      <c r="B41" s="9" t="s">
        <v>138</v>
      </c>
      <c r="C41" s="27" t="s">
        <v>241</v>
      </c>
      <c r="D41" s="4" t="s">
        <v>67</v>
      </c>
      <c r="E41" s="6" t="str">
        <f>+VLOOKUP(B41,informacion_extra!A:F,2,FALSE)</f>
        <v>Nurky Castro (46)</v>
      </c>
      <c r="F41" s="6" t="str">
        <f>+VLOOKUP(seguimiento_detalles_defecto!B41,informacion_extra!A:F,3,FALSE)</f>
        <v>ANGELA PATRICIA PERDOMO (175)</v>
      </c>
      <c r="G41" s="39" t="str">
        <f>+VLOOKUP(B41,informacion_extra!A:F,4,FALSE)</f>
        <v>6,47</v>
      </c>
      <c r="H41" s="39" t="str">
        <f>+VLOOKUP(B41,informacion_extra!A:F,5,FALSE)</f>
        <v>Desarrollo</v>
      </c>
      <c r="I41" s="6" t="str">
        <f>+VLOOKUP(B41,informacion_extra!A:F,6,FALSE)</f>
        <v>En tratamiento</v>
      </c>
      <c r="J41" s="65">
        <v>45869</v>
      </c>
      <c r="K41" s="4"/>
      <c r="L41" s="4" t="s">
        <v>255</v>
      </c>
    </row>
    <row r="42" spans="1:13" ht="14.25" customHeight="1" x14ac:dyDescent="0.3">
      <c r="A42" s="4">
        <v>41</v>
      </c>
      <c r="B42" s="9" t="s">
        <v>192</v>
      </c>
      <c r="C42" s="27" t="s">
        <v>241</v>
      </c>
      <c r="D42" s="4" t="s">
        <v>67</v>
      </c>
      <c r="E42" s="6" t="str">
        <f>+VLOOKUP(B42,informacion_extra!A:F,2,FALSE)</f>
        <v>Nurky Castro (46)</v>
      </c>
      <c r="F42" s="6" t="str">
        <f>+VLOOKUP(seguimiento_detalles_defecto!B42,informacion_extra!A:F,3,FALSE)</f>
        <v>ANGELA PATRICIA PERDOMO (175)</v>
      </c>
      <c r="G42" s="39" t="str">
        <f>+VLOOKUP(B42,informacion_extra!A:F,4,FALSE)</f>
        <v>6,48</v>
      </c>
      <c r="H42" s="39" t="str">
        <f>+VLOOKUP(B42,informacion_extra!A:F,5,FALSE)</f>
        <v>Desarrollo</v>
      </c>
      <c r="I42" s="6" t="str">
        <f>+VLOOKUP(B42,informacion_extra!A:F,6,FALSE)</f>
        <v>En tratamiento</v>
      </c>
      <c r="J42" s="65">
        <v>45875</v>
      </c>
      <c r="K42" s="4"/>
      <c r="L42" s="4" t="s">
        <v>255</v>
      </c>
    </row>
    <row r="43" spans="1:13" ht="14.25" customHeight="1" x14ac:dyDescent="0.3">
      <c r="A43" s="4">
        <v>42</v>
      </c>
      <c r="B43" s="6" t="s">
        <v>154</v>
      </c>
      <c r="C43" s="6" t="str">
        <f t="shared" ref="C43:C50" si="2">+MID(B43,4,2)</f>
        <v>TX</v>
      </c>
      <c r="D43" s="10" t="str">
        <f t="shared" ref="D43:D48" si="3">+MID(B43,7,4)</f>
        <v>1301</v>
      </c>
      <c r="E43" s="6" t="str">
        <f>+VLOOKUP(B43,informacion_extra!A:F,2,FALSE)</f>
        <v>Juan Pablo Sanchez Martinez (125)</v>
      </c>
      <c r="F43" s="6" t="str">
        <f>+VLOOKUP(seguimiento_detalles_defecto!B43,informacion_extra!A:F,3,FALSE)</f>
        <v>LINA MARIA SANCHEZ ESCOBAR (771)</v>
      </c>
      <c r="G43" s="62" t="str">
        <f>+VLOOKUP(B43,informacion_extra!A:F,4,FALSE)</f>
        <v>24,60</v>
      </c>
      <c r="H43" s="39" t="str">
        <f>+VLOOKUP(B43,informacion_extra!A:F,5,FALSE)</f>
        <v>Desarrollo</v>
      </c>
      <c r="I43" s="6" t="str">
        <f>+VLOOKUP(B43,informacion_extra!A:F,6,FALSE)</f>
        <v>En tratamiento</v>
      </c>
      <c r="J43" s="15"/>
      <c r="K43" s="19" t="s">
        <v>281</v>
      </c>
      <c r="L43" s="4" t="s">
        <v>263</v>
      </c>
      <c r="M43" t="s">
        <v>250</v>
      </c>
    </row>
    <row r="44" spans="1:13" ht="14.25" customHeight="1" x14ac:dyDescent="0.3">
      <c r="A44" s="4">
        <v>43</v>
      </c>
      <c r="B44" s="9" t="s">
        <v>45</v>
      </c>
      <c r="C44" s="6" t="str">
        <f t="shared" si="2"/>
        <v>TX</v>
      </c>
      <c r="D44" s="10" t="str">
        <f t="shared" si="3"/>
        <v>1234</v>
      </c>
      <c r="E44" s="6" t="str">
        <f>+VLOOKUP(B44,informacion_extra!A:F,2,FALSE)</f>
        <v>Ana Maria Brito Llerena (151)</v>
      </c>
      <c r="F44" s="6" t="str">
        <f>+VLOOKUP(seguimiento_detalles_defecto!B44,informacion_extra!A:F,3,FALSE)</f>
        <v>LINA MARIA SANCHEZ ESCOBAR (771)</v>
      </c>
      <c r="G44" s="39" t="str">
        <f>+VLOOKUP(B44,informacion_extra!A:F,4,FALSE)</f>
        <v>24,61</v>
      </c>
      <c r="H44" s="39" t="str">
        <f>+VLOOKUP(B44,informacion_extra!A:F,5,FALSE)</f>
        <v>Desarrollo</v>
      </c>
      <c r="I44" s="6" t="str">
        <f>+VLOOKUP(B44,informacion_extra!A:F,6,FALSE)</f>
        <v>En tratamiento</v>
      </c>
      <c r="J44" s="15">
        <v>45874</v>
      </c>
      <c r="K44" s="19" t="s">
        <v>282</v>
      </c>
      <c r="L44" s="4" t="s">
        <v>255</v>
      </c>
      <c r="M44" t="s">
        <v>250</v>
      </c>
    </row>
    <row r="45" spans="1:13" ht="14.25" customHeight="1" x14ac:dyDescent="0.3">
      <c r="A45" s="4">
        <v>44</v>
      </c>
      <c r="B45" s="6" t="s">
        <v>29</v>
      </c>
      <c r="C45" s="6" t="str">
        <f t="shared" si="2"/>
        <v>TX</v>
      </c>
      <c r="D45" s="10" t="str">
        <f t="shared" si="3"/>
        <v>1235</v>
      </c>
      <c r="E45" s="6" t="str">
        <f>+VLOOKUP(B45,informacion_extra!A:F,2,FALSE)</f>
        <v>Raphael Gustavo Gimenes Trivaleti (219)</v>
      </c>
      <c r="F45" s="6" t="str">
        <f>+VLOOKUP(seguimiento_detalles_defecto!B45,informacion_extra!A:F,3,FALSE)</f>
        <v>LINA MARIA SANCHEZ ESCOBAR (771)</v>
      </c>
      <c r="G45" s="39" t="str">
        <f>+VLOOKUP(B45,informacion_extra!A:F,4,FALSE)</f>
        <v>24,61</v>
      </c>
      <c r="H45" s="39" t="str">
        <f>+VLOOKUP(B45,informacion_extra!A:F,5,FALSE)</f>
        <v>Desarrollo</v>
      </c>
      <c r="I45" s="6" t="str">
        <f>+VLOOKUP(B45,informacion_extra!A:F,6,FALSE)</f>
        <v>En tratamiento</v>
      </c>
      <c r="J45" s="15">
        <v>45884</v>
      </c>
      <c r="K45" s="19" t="s">
        <v>283</v>
      </c>
      <c r="L45" s="4" t="s">
        <v>255</v>
      </c>
      <c r="M45" t="s">
        <v>250</v>
      </c>
    </row>
    <row r="46" spans="1:13" ht="14.25" customHeight="1" x14ac:dyDescent="0.3">
      <c r="A46" s="4">
        <v>45</v>
      </c>
      <c r="B46" s="9" t="s">
        <v>47</v>
      </c>
      <c r="C46" s="6" t="str">
        <f t="shared" si="2"/>
        <v>TX</v>
      </c>
      <c r="D46" s="10" t="str">
        <f t="shared" si="3"/>
        <v>1272</v>
      </c>
      <c r="E46" s="6" t="str">
        <f>+VLOOKUP(B46,informacion_extra!A:F,2,FALSE)</f>
        <v>Alvaro Arturo Cortes Barreto (92)</v>
      </c>
      <c r="F46" s="6" t="str">
        <f>+VLOOKUP(seguimiento_detalles_defecto!B46,informacion_extra!A:F,3,FALSE)</f>
        <v>LINA MARIA SANCHEZ ESCOBAR (771)</v>
      </c>
      <c r="G46" s="39" t="str">
        <f>+VLOOKUP(B46,informacion_extra!A:F,4,FALSE)</f>
        <v>24,60</v>
      </c>
      <c r="H46" s="39" t="str">
        <f>+VLOOKUP(B46,informacion_extra!A:F,5,FALSE)</f>
        <v>Desarrollo</v>
      </c>
      <c r="I46" s="6" t="str">
        <f>+VLOOKUP(B46,informacion_extra!A:F,6,FALSE)</f>
        <v>En tratamiento</v>
      </c>
      <c r="J46" s="15"/>
      <c r="K46" s="19" t="s">
        <v>284</v>
      </c>
      <c r="L46" s="4" t="s">
        <v>255</v>
      </c>
      <c r="M46" t="s">
        <v>250</v>
      </c>
    </row>
    <row r="47" spans="1:13" ht="14.25" customHeight="1" x14ac:dyDescent="0.3">
      <c r="A47" s="4">
        <v>46</v>
      </c>
      <c r="B47" s="6" t="s">
        <v>21</v>
      </c>
      <c r="C47" s="6" t="str">
        <f t="shared" si="2"/>
        <v>TX</v>
      </c>
      <c r="D47" s="10" t="str">
        <f t="shared" si="3"/>
        <v>1208</v>
      </c>
      <c r="E47" s="6" t="str">
        <f>+VLOOKUP(B47,informacion_extra!A:F,2,FALSE)</f>
        <v>Ana Maria Brito Llerena (151)</v>
      </c>
      <c r="F47" s="6" t="str">
        <f>+VLOOKUP(seguimiento_detalles_defecto!B47,informacion_extra!A:F,3,FALSE)</f>
        <v>LINA MARIA SANCHEZ ESCOBAR (771)</v>
      </c>
      <c r="G47" s="39" t="str">
        <f>+VLOOKUP(B47,informacion_extra!A:F,4,FALSE)</f>
        <v>24,62</v>
      </c>
      <c r="H47" s="39" t="str">
        <f>+VLOOKUP(B47,informacion_extra!A:F,5,FALSE)</f>
        <v>Desarrollo</v>
      </c>
      <c r="I47" s="6" t="str">
        <f>+VLOOKUP(B47,informacion_extra!A:F,6,FALSE)</f>
        <v>En tratamiento</v>
      </c>
      <c r="J47" s="69" t="s">
        <v>285</v>
      </c>
      <c r="K47" s="18" t="s">
        <v>286</v>
      </c>
      <c r="L47" s="4" t="s">
        <v>255</v>
      </c>
      <c r="M47" t="s">
        <v>250</v>
      </c>
    </row>
    <row r="48" spans="1:13" ht="14.25" customHeight="1" x14ac:dyDescent="0.3">
      <c r="A48" s="4">
        <v>47</v>
      </c>
      <c r="B48" s="6" t="s">
        <v>26</v>
      </c>
      <c r="C48" s="6" t="str">
        <f t="shared" si="2"/>
        <v>TX</v>
      </c>
      <c r="D48" s="10" t="str">
        <f t="shared" si="3"/>
        <v>1211</v>
      </c>
      <c r="E48" s="6" t="str">
        <f>+VLOOKUP(B48,informacion_extra!A:F,2,FALSE)</f>
        <v>Ana Maria Brito Llerena (151)</v>
      </c>
      <c r="F48" s="6" t="str">
        <f>+VLOOKUP(seguimiento_detalles_defecto!B48,informacion_extra!A:F,3,FALSE)</f>
        <v>ELIZABETH MARIA HERNANDEZ RUEDA (767)</v>
      </c>
      <c r="G48" s="39" t="str">
        <f>+VLOOKUP(B48,informacion_extra!A:F,4,FALSE)</f>
        <v>24,65</v>
      </c>
      <c r="H48" s="39" t="str">
        <f>+VLOOKUP(B48,informacion_extra!A:F,5,FALSE)</f>
        <v>Desarrollo</v>
      </c>
      <c r="I48" s="6" t="str">
        <f>+VLOOKUP(B48,informacion_extra!A:F,6,FALSE)</f>
        <v>En tratamiento</v>
      </c>
      <c r="J48" s="15"/>
      <c r="K48" s="7"/>
      <c r="L48" s="4" t="s">
        <v>255</v>
      </c>
      <c r="M48" t="s">
        <v>250</v>
      </c>
    </row>
    <row r="49" spans="1:12" ht="14.25" customHeight="1" x14ac:dyDescent="0.3">
      <c r="A49" s="4">
        <v>48</v>
      </c>
      <c r="B49" s="55" t="s">
        <v>214</v>
      </c>
      <c r="C49" s="56" t="str">
        <f t="shared" si="2"/>
        <v>FM</v>
      </c>
      <c r="D49" s="57">
        <v>633</v>
      </c>
      <c r="E49" s="6" t="str">
        <f>+VLOOKUP(B49,informacion_extra!A:F,2,FALSE)</f>
        <v>ANDRES FELIPE ESCOBAR CORREA (260)</v>
      </c>
      <c r="F49" s="26" t="str">
        <f>+VLOOKUP(seguimiento_detalles_defecto!B49,informacion_extra!A:F,3,FALSE)</f>
        <v>ANDRES FELIPE ESCOBAR CORREA (260)</v>
      </c>
      <c r="G49" s="30" t="str">
        <f>+VLOOKUP(B49,informacion_extra!A:F,4,FALSE)</f>
        <v>24,66</v>
      </c>
      <c r="H49" s="30" t="str">
        <f>+VLOOKUP(B49,informacion_extra!A:F,5,FALSE)</f>
        <v>Desarrollo</v>
      </c>
      <c r="I49" s="22" t="str">
        <f>+VLOOKUP(B49,informacion_extra!A:F,6,FALSE)</f>
        <v>Acción responsable test</v>
      </c>
      <c r="J49" s="58" t="s">
        <v>287</v>
      </c>
      <c r="K49" s="59" t="s">
        <v>288</v>
      </c>
      <c r="L49" s="20" t="s">
        <v>256</v>
      </c>
    </row>
    <row r="50" spans="1:12" ht="14.25" customHeight="1" x14ac:dyDescent="0.3">
      <c r="A50" s="4">
        <v>49</v>
      </c>
      <c r="B50" s="49" t="s">
        <v>225</v>
      </c>
      <c r="C50" s="49" t="str">
        <f t="shared" si="2"/>
        <v>FM</v>
      </c>
      <c r="D50" s="49">
        <v>403</v>
      </c>
      <c r="E50" s="6" t="str">
        <f>+VLOOKUP(B50,informacion_extra!A:F,2,FALSE)</f>
        <v>ANDRES FELIPE ESCOBAR CORREA (260)</v>
      </c>
      <c r="F50" s="49" t="str">
        <f>+VLOOKUP(seguimiento_detalles_defecto!B50,informacion_extra!A:F,3,FALSE)</f>
        <v>ANDRES FELIPE ESCOBAR CORREA (260)</v>
      </c>
      <c r="G50" s="50" t="str">
        <f>+VLOOKUP(B50,informacion_extra!A:F,4,FALSE)</f>
        <v>24,68</v>
      </c>
      <c r="H50" s="45" t="str">
        <f>+VLOOKUP(B50,informacion_extra!A:F,5,FALSE)</f>
        <v>Desarrollo</v>
      </c>
      <c r="I50" s="26" t="str">
        <f>+VLOOKUP(B50,informacion_extra!A:F,6,FALSE)</f>
        <v>Acción responsable test</v>
      </c>
      <c r="J50" s="13"/>
      <c r="K50" s="24" t="s">
        <v>289</v>
      </c>
      <c r="L50" s="13" t="s">
        <v>256</v>
      </c>
    </row>
    <row r="51" spans="1:12" ht="14.25" customHeight="1" x14ac:dyDescent="0.3">
      <c r="A51" s="4">
        <v>50</v>
      </c>
      <c r="B51" s="9" t="s">
        <v>88</v>
      </c>
      <c r="C51" s="27" t="s">
        <v>241</v>
      </c>
      <c r="D51" s="4" t="s">
        <v>67</v>
      </c>
      <c r="E51" s="6" t="str">
        <f>+VLOOKUP(B51,informacion_extra!A:F,2,FALSE)</f>
        <v>Manuel Escalante (131)</v>
      </c>
      <c r="F51" s="6" t="str">
        <f>+VLOOKUP(seguimiento_detalles_defecto!B51,informacion_extra!A:F,3,FALSE)</f>
        <v>MANUEL HERNANDO SANTA JARA (132)</v>
      </c>
      <c r="G51" s="39" t="str">
        <f>+VLOOKUP(B51,informacion_extra!A:F,4,FALSE)</f>
        <v>6,88</v>
      </c>
      <c r="H51" s="39">
        <f>+VLOOKUP(B51,informacion_extra!A:F,5,FALSE)</f>
        <v>0</v>
      </c>
      <c r="I51" s="6" t="str">
        <f>+VLOOKUP(B51,informacion_extra!A:F,6,FALSE)</f>
        <v>Nuevo</v>
      </c>
      <c r="J51" s="8"/>
      <c r="K51" s="4" t="s">
        <v>290</v>
      </c>
      <c r="L51" s="4" t="s">
        <v>255</v>
      </c>
    </row>
    <row r="52" spans="1:12" ht="14.25" customHeight="1" x14ac:dyDescent="0.3">
      <c r="A52" s="4">
        <v>51</v>
      </c>
      <c r="B52" s="9" t="s">
        <v>106</v>
      </c>
      <c r="C52" s="27" t="s">
        <v>235</v>
      </c>
      <c r="D52" s="4" t="s">
        <v>67</v>
      </c>
      <c r="E52" s="6" t="str">
        <f>+VLOOKUP(B52,informacion_extra!A:F,2,FALSE)</f>
        <v>Lina María Rodríguez Bailón (171)</v>
      </c>
      <c r="F52" s="6" t="str">
        <f>+VLOOKUP(seguimiento_detalles_defecto!B52,informacion_extra!A:F,3,FALSE)</f>
        <v>MISAEL ENRIQUE ARAUJO DIAZ (701)</v>
      </c>
      <c r="G52" s="39" t="str">
        <f>+VLOOKUP(B52,informacion_extra!A:F,4,FALSE)</f>
        <v>6,89</v>
      </c>
      <c r="H52" s="39" t="str">
        <f>+VLOOKUP(B52,informacion_extra!A:F,5,FALSE)</f>
        <v>Desarrollo</v>
      </c>
      <c r="I52" s="6" t="str">
        <f>+VLOOKUP(B52,informacion_extra!A:F,6,FALSE)</f>
        <v>En tratamiento</v>
      </c>
      <c r="J52" s="4"/>
      <c r="K52" s="4" t="s">
        <v>291</v>
      </c>
      <c r="L52" s="4" t="s">
        <v>263</v>
      </c>
    </row>
    <row r="53" spans="1:12" ht="14.25" customHeight="1" x14ac:dyDescent="0.3">
      <c r="A53" s="4">
        <v>52</v>
      </c>
      <c r="B53" s="6" t="s">
        <v>159</v>
      </c>
      <c r="C53" s="27" t="s">
        <v>242</v>
      </c>
      <c r="D53" s="4" t="s">
        <v>67</v>
      </c>
      <c r="E53" s="6" t="str">
        <f>+VLOOKUP(B53,informacion_extra!A:F,2,FALSE)</f>
        <v>Raphael Gustavo Gimenes Trivaleti (219)</v>
      </c>
      <c r="F53" s="6" t="str">
        <f>+VLOOKUP(seguimiento_detalles_defecto!B53,informacion_extra!A:F,3,FALSE)</f>
        <v>LINA MARIA SANCHEZ ESCOBAR (771)</v>
      </c>
      <c r="G53" s="39" t="str">
        <f>+VLOOKUP(B53,informacion_extra!A:F,4,FALSE)</f>
        <v>8,58</v>
      </c>
      <c r="H53" s="39" t="str">
        <f>+VLOOKUP(B53,informacion_extra!A:F,5,FALSE)</f>
        <v>Desarrollo</v>
      </c>
      <c r="I53" s="6" t="str">
        <f>+VLOOKUP(B53,informacion_extra!A:F,6,FALSE)</f>
        <v>En tratamiento</v>
      </c>
      <c r="J53" s="4"/>
      <c r="K53" s="4" t="s">
        <v>292</v>
      </c>
      <c r="L53" s="4" t="s">
        <v>263</v>
      </c>
    </row>
    <row r="54" spans="1:12" ht="14.25" customHeight="1" x14ac:dyDescent="0.3">
      <c r="A54" s="4">
        <v>53</v>
      </c>
      <c r="B54" s="9" t="s">
        <v>11</v>
      </c>
      <c r="C54" s="4" t="s">
        <v>232</v>
      </c>
      <c r="D54" s="4" t="s">
        <v>67</v>
      </c>
      <c r="E54" s="6" t="str">
        <f>+VLOOKUP(B54,informacion_extra!A:F,2,FALSE)</f>
        <v>Oscar Mauricio Parada (49)</v>
      </c>
      <c r="F54" s="6" t="str">
        <f>+VLOOKUP(seguimiento_detalles_defecto!B54,informacion_extra!A:F,3,FALSE)</f>
        <v>SEBASTIAN GALLEGO VILLEGAS (147)</v>
      </c>
      <c r="G54" s="39" t="str">
        <f>+VLOOKUP(B54,informacion_extra!A:F,4,FALSE)</f>
        <v>10,60</v>
      </c>
      <c r="H54" s="39" t="str">
        <f>+VLOOKUP(B54,informacion_extra!A:F,5,FALSE)</f>
        <v>Desarrollo</v>
      </c>
      <c r="I54" s="6" t="str">
        <f>+VLOOKUP(B54,informacion_extra!A:F,6,FALSE)</f>
        <v>Nuevo</v>
      </c>
      <c r="J54" s="4"/>
      <c r="K54" s="4"/>
      <c r="L54" s="4" t="s">
        <v>255</v>
      </c>
    </row>
    <row r="55" spans="1:12" ht="14.25" customHeight="1" x14ac:dyDescent="0.3">
      <c r="A55" s="4">
        <v>54</v>
      </c>
      <c r="B55" s="9" t="s">
        <v>6</v>
      </c>
      <c r="C55" s="4" t="s">
        <v>232</v>
      </c>
      <c r="D55" s="4" t="s">
        <v>67</v>
      </c>
      <c r="E55" s="6" t="str">
        <f>+VLOOKUP(B55,informacion_extra!A:F,2,FALSE)</f>
        <v>Oscar Mauricio Parada (49)</v>
      </c>
      <c r="F55" s="6" t="str">
        <f>+VLOOKUP(seguimiento_detalles_defecto!B55,informacion_extra!A:F,3,FALSE)</f>
        <v>SEBASTIAN GALLEGO VILLEGAS (147)</v>
      </c>
      <c r="G55" s="39" t="str">
        <f>+VLOOKUP(B55,informacion_extra!A:F,4,FALSE)</f>
        <v>10,61</v>
      </c>
      <c r="H55" s="39" t="str">
        <f>+VLOOKUP(B55,informacion_extra!A:F,5,FALSE)</f>
        <v>Desarrollo</v>
      </c>
      <c r="I55" s="6" t="str">
        <f>+VLOOKUP(B55,informacion_extra!A:F,6,FALSE)</f>
        <v>Nuevo</v>
      </c>
      <c r="J55" s="4"/>
      <c r="K55" s="4"/>
      <c r="L55" s="4" t="s">
        <v>255</v>
      </c>
    </row>
    <row r="56" spans="1:12" ht="14.25" customHeight="1" x14ac:dyDescent="0.3">
      <c r="A56" s="4">
        <v>55</v>
      </c>
      <c r="B56" s="9" t="s">
        <v>14</v>
      </c>
      <c r="C56" s="4" t="s">
        <v>232</v>
      </c>
      <c r="D56" s="4" t="s">
        <v>67</v>
      </c>
      <c r="E56" s="6" t="str">
        <f>+VLOOKUP(B56,informacion_extra!A:F,2,FALSE)</f>
        <v>Oscar Mauricio Parada (49)</v>
      </c>
      <c r="F56" s="6" t="str">
        <f>+VLOOKUP(seguimiento_detalles_defecto!B56,informacion_extra!A:F,3,FALSE)</f>
        <v>SEBASTIAN GALLEGO VILLEGAS (147)</v>
      </c>
      <c r="G56" s="39" t="str">
        <f>+VLOOKUP(B56,informacion_extra!A:F,4,FALSE)</f>
        <v>10,61</v>
      </c>
      <c r="H56" s="39" t="str">
        <f>+VLOOKUP(B56,informacion_extra!A:F,5,FALSE)</f>
        <v>Desarrollo</v>
      </c>
      <c r="I56" s="6" t="str">
        <f>+VLOOKUP(B56,informacion_extra!A:F,6,FALSE)</f>
        <v>Nuevo</v>
      </c>
      <c r="J56" s="4"/>
      <c r="K56" s="4"/>
      <c r="L56" s="4" t="s">
        <v>255</v>
      </c>
    </row>
    <row r="57" spans="1:12" ht="14.25" customHeight="1" x14ac:dyDescent="0.3">
      <c r="A57" s="4">
        <v>56</v>
      </c>
      <c r="B57" s="9" t="s">
        <v>40</v>
      </c>
      <c r="C57" s="4" t="s">
        <v>243</v>
      </c>
      <c r="D57" s="4" t="s">
        <v>67</v>
      </c>
      <c r="E57" s="6" t="str">
        <f>+VLOOKUP(B57,informacion_extra!A:F,2,FALSE)</f>
        <v>Manuel Escalante (131)</v>
      </c>
      <c r="F57" s="6" t="str">
        <f>+VLOOKUP(seguimiento_detalles_defecto!B57,informacion_extra!A:F,3,FALSE)</f>
        <v>ANGELA PATRICIA PERDOMO (175)</v>
      </c>
      <c r="G57" s="39" t="str">
        <f>+VLOOKUP(B57,informacion_extra!A:F,4,FALSE)</f>
        <v>10,69</v>
      </c>
      <c r="H57" s="39" t="str">
        <f>+VLOOKUP(B57,informacion_extra!A:F,5,FALSE)</f>
        <v>Configuración</v>
      </c>
      <c r="I57" s="6" t="str">
        <f>+VLOOKUP(B57,informacion_extra!A:F,6,FALSE)</f>
        <v>En tratamiento</v>
      </c>
      <c r="J57" s="8">
        <v>45861</v>
      </c>
      <c r="K57" s="4"/>
      <c r="L57" s="4" t="s">
        <v>255</v>
      </c>
    </row>
    <row r="58" spans="1:12" ht="14.25" customHeight="1" x14ac:dyDescent="0.3">
      <c r="A58" s="4">
        <v>57</v>
      </c>
      <c r="B58" s="38" t="s">
        <v>212</v>
      </c>
      <c r="C58" s="4" t="s">
        <v>243</v>
      </c>
      <c r="D58" s="4" t="s">
        <v>67</v>
      </c>
      <c r="E58" s="6" t="str">
        <f>+VLOOKUP(B58,informacion_extra!A:F,2,FALSE)</f>
        <v>Manuel Escalante (131)</v>
      </c>
      <c r="F58" s="6" t="str">
        <f>+VLOOKUP(seguimiento_detalles_defecto!B58,informacion_extra!A:F,3,FALSE)</f>
        <v>ANGELA PATRICIA PERDOMO (175)</v>
      </c>
      <c r="G58" s="39" t="str">
        <f>+VLOOKUP(B58,informacion_extra!A:F,4,FALSE)</f>
        <v>10,88</v>
      </c>
      <c r="H58" s="39" t="str">
        <f>+VLOOKUP(B58,informacion_extra!A:F,5,FALSE)</f>
        <v>Configuración</v>
      </c>
      <c r="I58" s="6" t="str">
        <f>+VLOOKUP(B58,informacion_extra!A:F,6,FALSE)</f>
        <v>En tratamiento</v>
      </c>
      <c r="J58" s="65">
        <v>45869</v>
      </c>
      <c r="K58" s="7" t="s">
        <v>293</v>
      </c>
      <c r="L58" s="4" t="s">
        <v>255</v>
      </c>
    </row>
    <row r="59" spans="1:12" ht="14.25" customHeight="1" x14ac:dyDescent="0.3">
      <c r="A59" s="4">
        <v>58</v>
      </c>
      <c r="B59" s="38" t="s">
        <v>195</v>
      </c>
      <c r="C59" s="4" t="s">
        <v>243</v>
      </c>
      <c r="D59" s="4" t="s">
        <v>67</v>
      </c>
      <c r="E59" s="6" t="str">
        <f>+VLOOKUP(B59,informacion_extra!A:F,2,FALSE)</f>
        <v>Manuel Escalante (131)</v>
      </c>
      <c r="F59" s="6" t="str">
        <f>+VLOOKUP(seguimiento_detalles_defecto!B59,informacion_extra!A:F,3,FALSE)</f>
        <v>ANGELA PATRICIA PERDOMO (175)</v>
      </c>
      <c r="G59" s="39" t="str">
        <f>+VLOOKUP(B59,informacion_extra!A:F,4,FALSE)</f>
        <v>10,88</v>
      </c>
      <c r="H59" s="39" t="str">
        <f>+VLOOKUP(B59,informacion_extra!A:F,5,FALSE)</f>
        <v>Configuración</v>
      </c>
      <c r="I59" s="6" t="str">
        <f>+VLOOKUP(B59,informacion_extra!A:F,6,FALSE)</f>
        <v>En tratamiento</v>
      </c>
      <c r="J59" s="8"/>
      <c r="K59" s="7" t="s">
        <v>294</v>
      </c>
      <c r="L59" s="4" t="s">
        <v>255</v>
      </c>
    </row>
    <row r="60" spans="1:12" ht="14.25" customHeight="1" x14ac:dyDescent="0.3">
      <c r="A60" s="4">
        <v>59</v>
      </c>
      <c r="B60" s="9" t="s">
        <v>108</v>
      </c>
      <c r="C60" s="27" t="s">
        <v>236</v>
      </c>
      <c r="D60" s="4" t="s">
        <v>67</v>
      </c>
      <c r="E60" s="6" t="str">
        <f>+VLOOKUP(B60,informacion_extra!A:F,2,FALSE)</f>
        <v>John Alejandro Rodriguez (41)</v>
      </c>
      <c r="F60" s="6" t="str">
        <f>+VLOOKUP(seguimiento_detalles_defecto!B60,informacion_extra!A:F,3,FALSE)</f>
        <v>GLORIA ELENA AGUDELO ARENAS (181)</v>
      </c>
      <c r="G60" s="39" t="str">
        <f>+VLOOKUP(B60,informacion_extra!A:F,4,FALSE)</f>
        <v>10,97</v>
      </c>
      <c r="H60" s="39" t="str">
        <f>+VLOOKUP(B60,informacion_extra!A:F,5,FALSE)</f>
        <v>Control de cambio</v>
      </c>
      <c r="I60" s="6" t="str">
        <f>+VLOOKUP(B60,informacion_extra!A:F,6,FALSE)</f>
        <v>Nuevo</v>
      </c>
      <c r="J60" s="65">
        <v>45870</v>
      </c>
      <c r="K60" s="4" t="s">
        <v>295</v>
      </c>
      <c r="L60" s="4" t="s">
        <v>255</v>
      </c>
    </row>
    <row r="61" spans="1:12" ht="14.25" customHeight="1" x14ac:dyDescent="0.3">
      <c r="A61" s="4">
        <v>60</v>
      </c>
      <c r="B61" s="9" t="s">
        <v>197</v>
      </c>
      <c r="C61" s="4" t="s">
        <v>243</v>
      </c>
      <c r="D61" s="4" t="s">
        <v>67</v>
      </c>
      <c r="E61" s="6" t="str">
        <f>+VLOOKUP(B61,informacion_extra!A:F,2,FALSE)</f>
        <v>Manuel Escalante (131)</v>
      </c>
      <c r="F61" s="6" t="str">
        <f>+VLOOKUP(seguimiento_detalles_defecto!B61,informacion_extra!A:F,3,FALSE)</f>
        <v>ANGELA PATRICIA PERDOMO (175)</v>
      </c>
      <c r="G61" s="39" t="str">
        <f>+VLOOKUP(B61,informacion_extra!A:F,4,FALSE)</f>
        <v>11,62</v>
      </c>
      <c r="H61" s="39" t="str">
        <f>+VLOOKUP(B61,informacion_extra!A:F,5,FALSE)</f>
        <v>Configuración</v>
      </c>
      <c r="I61" s="6" t="str">
        <f>+VLOOKUP(B61,informacion_extra!A:F,6,FALSE)</f>
        <v>En tratamiento</v>
      </c>
      <c r="J61" s="65">
        <v>45869</v>
      </c>
      <c r="K61" s="7" t="s">
        <v>296</v>
      </c>
      <c r="L61" s="4" t="s">
        <v>255</v>
      </c>
    </row>
    <row r="62" spans="1:12" ht="14.25" customHeight="1" x14ac:dyDescent="0.3">
      <c r="A62" s="4">
        <v>61</v>
      </c>
      <c r="B62" s="9" t="s">
        <v>79</v>
      </c>
      <c r="C62" s="27" t="s">
        <v>233</v>
      </c>
      <c r="D62" s="4" t="s">
        <v>67</v>
      </c>
      <c r="E62" s="6" t="str">
        <f>+VLOOKUP(B62,informacion_extra!A:F,2,FALSE)</f>
        <v>Alberto Rivera Betancourt (822)</v>
      </c>
      <c r="F62" s="6" t="str">
        <f>+VLOOKUP(seguimiento_detalles_defecto!B62,informacion_extra!A:F,3,FALSE)</f>
        <v>SINDY CRISTINA ALZATE ARIAS (201)</v>
      </c>
      <c r="G62" s="39" t="str">
        <f>+VLOOKUP(B62,informacion_extra!A:F,4,FALSE)</f>
        <v>11,73</v>
      </c>
      <c r="H62" s="39" t="str">
        <f>+VLOOKUP(B62,informacion_extra!A:F,5,FALSE)</f>
        <v>Desarrollo</v>
      </c>
      <c r="I62" s="6" t="str">
        <f>+VLOOKUP(B62,informacion_extra!A:F,6,FALSE)</f>
        <v>En tratamiento</v>
      </c>
      <c r="J62" s="8"/>
      <c r="K62" s="7"/>
      <c r="L62" s="4" t="s">
        <v>255</v>
      </c>
    </row>
    <row r="63" spans="1:12" ht="14.25" customHeight="1" x14ac:dyDescent="0.3">
      <c r="A63" s="4">
        <v>62</v>
      </c>
      <c r="B63" s="9" t="s">
        <v>84</v>
      </c>
      <c r="C63" s="27" t="s">
        <v>244</v>
      </c>
      <c r="D63" s="4" t="s">
        <v>67</v>
      </c>
      <c r="E63" s="6" t="str">
        <f>+VLOOKUP(B63,informacion_extra!A:F,2,FALSE)</f>
        <v>Juan Manuel Ossa Botero (40)</v>
      </c>
      <c r="F63" s="6" t="str">
        <f>+VLOOKUP(seguimiento_detalles_defecto!B63,informacion_extra!A:F,3,FALSE)</f>
        <v>ADRIANA CAROLINA PEREZ ORTIZ (327)</v>
      </c>
      <c r="G63" s="39" t="str">
        <f>+VLOOKUP(B63,informacion_extra!A:F,4,FALSE)</f>
        <v>1,93</v>
      </c>
      <c r="H63" s="39" t="str">
        <f>+VLOOKUP(B63,informacion_extra!A:F,5,FALSE)</f>
        <v>Configuración</v>
      </c>
      <c r="I63" s="6" t="str">
        <f>+VLOOKUP(B63,informacion_extra!A:F,6,FALSE)</f>
        <v>Nuevo</v>
      </c>
      <c r="J63" s="4"/>
      <c r="K63" s="4"/>
      <c r="L63" s="4" t="s">
        <v>255</v>
      </c>
    </row>
    <row r="64" spans="1:12" ht="14.25" customHeight="1" x14ac:dyDescent="0.3">
      <c r="A64" s="4">
        <v>63</v>
      </c>
      <c r="B64" s="9" t="s">
        <v>113</v>
      </c>
      <c r="C64" s="4" t="s">
        <v>237</v>
      </c>
      <c r="D64" s="4" t="s">
        <v>67</v>
      </c>
      <c r="E64" s="6" t="str">
        <f>+VLOOKUP(B64,informacion_extra!A:F,2,FALSE)</f>
        <v>Nicolas Sarmiento (218)</v>
      </c>
      <c r="F64" s="6" t="str">
        <f>+VLOOKUP(seguimiento_detalles_defecto!B64,informacion_extra!A:F,3,FALSE)</f>
        <v>DAMARIS BIVIANA MURCIA SABOYA (103)</v>
      </c>
      <c r="G64" s="39" t="str">
        <f>+VLOOKUP(B64,informacion_extra!A:F,4,FALSE)</f>
        <v>0,94</v>
      </c>
      <c r="H64" s="39" t="str">
        <f>+VLOOKUP(B64,informacion_extra!A:F,5,FALSE)</f>
        <v>Configuración</v>
      </c>
      <c r="I64" s="6" t="str">
        <f>+VLOOKUP(B64,informacion_extra!A:F,6,FALSE)</f>
        <v>Nuevo</v>
      </c>
      <c r="J64" s="4"/>
      <c r="K64" s="4" t="s">
        <v>261</v>
      </c>
      <c r="L64" s="4" t="s">
        <v>255</v>
      </c>
    </row>
    <row r="65" spans="1:12" ht="14.25" customHeight="1" x14ac:dyDescent="0.3">
      <c r="A65" s="4">
        <v>64</v>
      </c>
      <c r="B65" s="9" t="s">
        <v>140</v>
      </c>
      <c r="C65" s="4" t="s">
        <v>234</v>
      </c>
      <c r="D65" s="4" t="s">
        <v>67</v>
      </c>
      <c r="E65" s="6" t="str">
        <f>+VLOOKUP(B65,informacion_extra!A:F,2,FALSE)</f>
        <v>Manuel Escalante (131)</v>
      </c>
      <c r="F65" s="6" t="str">
        <f>+VLOOKUP(seguimiento_detalles_defecto!B65,informacion_extra!A:F,3,FALSE)</f>
        <v>ANGELA PATRICIA PERDOMO (175)</v>
      </c>
      <c r="G65" s="39" t="str">
        <f>+VLOOKUP(B65,informacion_extra!A:F,4,FALSE)</f>
        <v>2,94</v>
      </c>
      <c r="H65" s="39" t="str">
        <f>+VLOOKUP(B65,informacion_extra!A:F,5,FALSE)</f>
        <v>Configuración</v>
      </c>
      <c r="I65" s="6" t="str">
        <f>+VLOOKUP(B65,informacion_extra!A:F,6,FALSE)</f>
        <v>En tratamiento</v>
      </c>
      <c r="J65" s="4"/>
      <c r="K65" s="4"/>
      <c r="L65" s="4" t="s">
        <v>255</v>
      </c>
    </row>
    <row r="66" spans="1:12" ht="14.25" customHeight="1" x14ac:dyDescent="0.3">
      <c r="A66" s="4">
        <v>65</v>
      </c>
      <c r="B66" s="73" t="s">
        <v>142</v>
      </c>
      <c r="C66" s="13" t="s">
        <v>234</v>
      </c>
      <c r="D66" s="13" t="s">
        <v>67</v>
      </c>
      <c r="E66" s="14" t="str">
        <f>+VLOOKUP(B66,informacion_extra!A:F,2,FALSE)</f>
        <v>Manuel Escalante (131)</v>
      </c>
      <c r="F66" s="14" t="str">
        <f>+VLOOKUP(seguimiento_detalles_defecto!B66,informacion_extra!A:F,3,FALSE)</f>
        <v>ANGELA PATRICIA PERDOMO (175)</v>
      </c>
      <c r="G66" s="74" t="str">
        <f>+VLOOKUP(B66,informacion_extra!A:F,4,FALSE)</f>
        <v>2,47</v>
      </c>
      <c r="H66" s="74" t="str">
        <f>+VLOOKUP(B66,informacion_extra!A:F,5,FALSE)</f>
        <v>Configuración</v>
      </c>
      <c r="I66" s="14" t="str">
        <f>+VLOOKUP(B66,informacion_extra!A:F,6,FALSE)</f>
        <v>En tratamiento</v>
      </c>
      <c r="J66" s="13"/>
      <c r="K66" s="4"/>
      <c r="L66" s="4" t="s">
        <v>255</v>
      </c>
    </row>
    <row r="67" spans="1:12" ht="14.25" customHeight="1" x14ac:dyDescent="0.3">
      <c r="A67" s="4">
        <v>66</v>
      </c>
      <c r="B67" s="9" t="s">
        <v>144</v>
      </c>
      <c r="C67" s="4" t="s">
        <v>234</v>
      </c>
      <c r="D67" s="4" t="s">
        <v>67</v>
      </c>
      <c r="E67" s="6" t="str">
        <f>+VLOOKUP(B67,informacion_extra!A:F,2,FALSE)</f>
        <v>Manuel Escalante (131)</v>
      </c>
      <c r="F67" s="6" t="str">
        <f>+VLOOKUP(seguimiento_detalles_defecto!B67,informacion_extra!A:F,3,FALSE)</f>
        <v>ANGELA PATRICIA PERDOMO (175)</v>
      </c>
      <c r="G67" s="39" t="str">
        <f>+VLOOKUP(B67,informacion_extra!A:F,4,FALSE)</f>
        <v>3,76</v>
      </c>
      <c r="H67" s="39" t="str">
        <f>+VLOOKUP(B67,informacion_extra!A:F,5,FALSE)</f>
        <v>Configuración</v>
      </c>
      <c r="I67" s="6" t="str">
        <f>+VLOOKUP(B67,informacion_extra!A:F,6,FALSE)</f>
        <v>En tratamiento</v>
      </c>
      <c r="J67" s="4"/>
      <c r="K67" s="72"/>
      <c r="L67" s="4" t="s">
        <v>255</v>
      </c>
    </row>
    <row r="68" spans="1:12" ht="14.25" customHeight="1" x14ac:dyDescent="0.3">
      <c r="A68" s="4">
        <v>67</v>
      </c>
      <c r="B68" s="9" t="s">
        <v>146</v>
      </c>
      <c r="C68" s="4" t="s">
        <v>234</v>
      </c>
      <c r="D68" s="4" t="s">
        <v>67</v>
      </c>
      <c r="E68" s="6" t="str">
        <f>+VLOOKUP(B68,informacion_extra!A:F,2,FALSE)</f>
        <v>Manuel Escalante (131)</v>
      </c>
      <c r="F68" s="6" t="str">
        <f>+VLOOKUP(seguimiento_detalles_defecto!B68,informacion_extra!A:F,3,FALSE)</f>
        <v>ANGELA PATRICIA PERDOMO (175)</v>
      </c>
      <c r="G68" s="39" t="str">
        <f>+VLOOKUP(B68,informacion_extra!A:F,4,FALSE)</f>
        <v>2,42</v>
      </c>
      <c r="H68" s="39" t="str">
        <f>+VLOOKUP(B68,informacion_extra!A:F,5,FALSE)</f>
        <v>Configuración</v>
      </c>
      <c r="I68" s="6" t="str">
        <f>+VLOOKUP(B68,informacion_extra!A:F,6,FALSE)</f>
        <v>En tratamiento</v>
      </c>
      <c r="J68" s="4"/>
      <c r="K68" s="72"/>
      <c r="L68" s="4" t="s">
        <v>255</v>
      </c>
    </row>
    <row r="69" spans="1:12" ht="14.25" customHeight="1" x14ac:dyDescent="0.3">
      <c r="A69" s="4">
        <v>68</v>
      </c>
      <c r="B69" s="9" t="s">
        <v>157</v>
      </c>
      <c r="C69" s="27" t="s">
        <v>242</v>
      </c>
      <c r="D69" s="4" t="s">
        <v>67</v>
      </c>
      <c r="E69" s="6" t="str">
        <f>+VLOOKUP(B69,informacion_extra!A:F,2,FALSE)</f>
        <v>Ana Maria Brito Llerena (151)</v>
      </c>
      <c r="F69" s="6" t="str">
        <f>+VLOOKUP(seguimiento_detalles_defecto!B69,informacion_extra!A:F,3,FALSE)</f>
        <v>LINA MARIA SANCHEZ ESCOBAR (771)</v>
      </c>
      <c r="G69" s="39" t="str">
        <f>+VLOOKUP(B69,informacion_extra!A:F,4,FALSE)</f>
        <v>1,67</v>
      </c>
      <c r="H69" s="39" t="str">
        <f>+VLOOKUP(B69,informacion_extra!A:F,5,FALSE)</f>
        <v>Control de cambio</v>
      </c>
      <c r="I69" s="6" t="str">
        <f>+VLOOKUP(B69,informacion_extra!A:F,6,FALSE)</f>
        <v>En tratamiento</v>
      </c>
      <c r="J69" s="4"/>
      <c r="K69" s="72" t="s">
        <v>297</v>
      </c>
      <c r="L69" s="4" t="s">
        <v>255</v>
      </c>
    </row>
    <row r="70" spans="1:12" ht="14.25" customHeight="1" x14ac:dyDescent="0.3">
      <c r="A70" s="4">
        <v>69</v>
      </c>
      <c r="B70" s="9" t="s">
        <v>166</v>
      </c>
      <c r="C70" s="27" t="s">
        <v>242</v>
      </c>
      <c r="D70" s="4" t="s">
        <v>67</v>
      </c>
      <c r="E70" s="6" t="str">
        <f>+VLOOKUP(B70,informacion_extra!A:F,2,FALSE)</f>
        <v>Elkin Dario Fernandez Camacho (166)</v>
      </c>
      <c r="F70" s="6" t="str">
        <f>+VLOOKUP(seguimiento_detalles_defecto!B70,informacion_extra!A:F,3,FALSE)</f>
        <v>LEIDY FABIOLA CARDENAS SUAREZ (188)</v>
      </c>
      <c r="G70" s="39" t="str">
        <f>+VLOOKUP(B70,informacion_extra!A:F,4,FALSE)</f>
        <v>0,73</v>
      </c>
      <c r="H70" s="39">
        <f>+VLOOKUP(B70,informacion_extra!A:F,5,FALSE)</f>
        <v>0</v>
      </c>
      <c r="I70" s="6" t="str">
        <f>+VLOOKUP(B70,informacion_extra!A:F,6,FALSE)</f>
        <v>En tratamiento</v>
      </c>
      <c r="J70" s="4"/>
    </row>
    <row r="71" spans="1:12" ht="14.25" customHeight="1" x14ac:dyDescent="0.3">
      <c r="A71" s="4">
        <v>70</v>
      </c>
      <c r="B71" s="9" t="s">
        <v>169</v>
      </c>
      <c r="C71" s="4" t="s">
        <v>242</v>
      </c>
      <c r="D71" s="4" t="s">
        <v>67</v>
      </c>
      <c r="E71" s="6" t="str">
        <f>+VLOOKUP(B71,informacion_extra!A:F,2,FALSE)</f>
        <v>LEIDY FABIOLA CARDENAS SUAREZ (188)</v>
      </c>
      <c r="F71" s="6" t="str">
        <f>+VLOOKUP(seguimiento_detalles_defecto!B71,informacion_extra!A:F,3,FALSE)</f>
        <v>LEIDY FABIOLA CARDENAS SUAREZ (188)</v>
      </c>
      <c r="G71" s="39" t="str">
        <f>+VLOOKUP(B71,informacion_extra!A:F,4,FALSE)</f>
        <v>0,72</v>
      </c>
      <c r="H71" s="39">
        <f>+VLOOKUP(B71,informacion_extra!A:F,5,FALSE)</f>
        <v>0</v>
      </c>
      <c r="I71" s="6" t="str">
        <f>+VLOOKUP(B71,informacion_extra!A:F,6,FALSE)</f>
        <v>Acción responsable test</v>
      </c>
      <c r="J71" s="4"/>
    </row>
  </sheetData>
  <autoFilter ref="A1:CP1" xr:uid="{00000000-0001-0000-0000-000000000000}"/>
  <sortState xmlns:xlrd2="http://schemas.microsoft.com/office/spreadsheetml/2017/richdata2" ref="A2:L69">
    <sortCondition ref="G2:G69"/>
  </sortState>
  <conditionalFormatting sqref="J22:K22 B1:B1048576 M22:CP22 D22">
    <cfRule type="duplicateValues" dxfId="0" priority="1"/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3D3F-B210-46D1-8A1D-C0DC17BED3E6}">
  <dimension ref="A1:G10"/>
  <sheetViews>
    <sheetView workbookViewId="0">
      <selection activeCell="C8" sqref="C8"/>
    </sheetView>
  </sheetViews>
  <sheetFormatPr defaultColWidth="8.75" defaultRowHeight="14" x14ac:dyDescent="0.3"/>
  <cols>
    <col min="1" max="1" width="11.5" customWidth="1"/>
    <col min="2" max="7" width="12.08203125" customWidth="1"/>
  </cols>
  <sheetData>
    <row r="1" spans="1:7" ht="33" customHeight="1" x14ac:dyDescent="0.3">
      <c r="A1" s="16" t="s">
        <v>298</v>
      </c>
      <c r="B1" s="17" t="s">
        <v>299</v>
      </c>
      <c r="C1" s="17" t="s">
        <v>300</v>
      </c>
      <c r="D1" s="17" t="s">
        <v>301</v>
      </c>
      <c r="E1" s="17" t="s">
        <v>302</v>
      </c>
      <c r="F1" s="17" t="s">
        <v>303</v>
      </c>
      <c r="G1" s="17" t="s">
        <v>304</v>
      </c>
    </row>
    <row r="2" spans="1:7" x14ac:dyDescent="0.3">
      <c r="A2" s="4" t="s">
        <v>305</v>
      </c>
      <c r="B2" s="4">
        <v>7</v>
      </c>
      <c r="C2" s="4">
        <v>32</v>
      </c>
      <c r="D2" s="4">
        <v>2</v>
      </c>
      <c r="E2" s="4">
        <v>11</v>
      </c>
      <c r="F2" s="4">
        <v>15</v>
      </c>
      <c r="G2" s="4">
        <v>5</v>
      </c>
    </row>
    <row r="3" spans="1:7" x14ac:dyDescent="0.3">
      <c r="A3" s="4" t="s">
        <v>306</v>
      </c>
      <c r="B3" s="4">
        <v>9</v>
      </c>
      <c r="C3" s="4">
        <v>34</v>
      </c>
      <c r="D3" s="4">
        <v>0</v>
      </c>
      <c r="E3" s="4">
        <v>12</v>
      </c>
      <c r="F3" s="4">
        <v>12</v>
      </c>
      <c r="G3" s="4">
        <v>7</v>
      </c>
    </row>
    <row r="4" spans="1:7" x14ac:dyDescent="0.3">
      <c r="A4" s="4" t="s">
        <v>307</v>
      </c>
      <c r="B4" s="4">
        <v>7</v>
      </c>
      <c r="C4" s="4">
        <v>35</v>
      </c>
      <c r="D4" s="4">
        <v>0</v>
      </c>
      <c r="E4" s="4">
        <v>12</v>
      </c>
      <c r="F4" s="4">
        <v>13</v>
      </c>
      <c r="G4" s="4">
        <v>7</v>
      </c>
    </row>
    <row r="5" spans="1:7" x14ac:dyDescent="0.3">
      <c r="A5" s="4" t="s">
        <v>308</v>
      </c>
      <c r="B5" s="4">
        <v>7</v>
      </c>
      <c r="C5" s="4">
        <v>28</v>
      </c>
      <c r="D5" s="4">
        <v>0</v>
      </c>
      <c r="E5" s="4">
        <v>17</v>
      </c>
      <c r="F5" s="4">
        <v>20</v>
      </c>
      <c r="G5" s="4">
        <v>10</v>
      </c>
    </row>
    <row r="6" spans="1:7" x14ac:dyDescent="0.3">
      <c r="A6" s="4" t="s">
        <v>309</v>
      </c>
      <c r="B6" s="4">
        <v>8</v>
      </c>
      <c r="C6" s="4">
        <v>28</v>
      </c>
      <c r="D6" s="4">
        <v>0</v>
      </c>
      <c r="E6" s="4">
        <v>18</v>
      </c>
      <c r="F6" s="4">
        <v>21</v>
      </c>
      <c r="G6" s="4">
        <v>17</v>
      </c>
    </row>
    <row r="7" spans="1:7" x14ac:dyDescent="0.3">
      <c r="A7" s="4" t="s">
        <v>310</v>
      </c>
      <c r="B7" s="4">
        <v>10</v>
      </c>
      <c r="C7" s="4">
        <v>37</v>
      </c>
      <c r="D7" s="4">
        <v>0</v>
      </c>
      <c r="E7" s="4">
        <v>16</v>
      </c>
      <c r="F7" s="4">
        <v>19</v>
      </c>
      <c r="G7" s="4">
        <v>23</v>
      </c>
    </row>
    <row r="8" spans="1:7" x14ac:dyDescent="0.3">
      <c r="A8" s="4" t="s">
        <v>311</v>
      </c>
      <c r="B8" s="4">
        <v>12</v>
      </c>
      <c r="C8" s="4">
        <v>46</v>
      </c>
      <c r="D8" s="4">
        <v>0</v>
      </c>
      <c r="E8" s="4">
        <v>8</v>
      </c>
      <c r="F8" s="4">
        <v>9</v>
      </c>
      <c r="G8" s="4">
        <v>41</v>
      </c>
    </row>
    <row r="9" spans="1:7" x14ac:dyDescent="0.3">
      <c r="A9" s="4"/>
      <c r="B9" s="4"/>
      <c r="C9" s="4"/>
      <c r="D9" s="4"/>
      <c r="E9" s="4"/>
      <c r="F9" s="4"/>
      <c r="G9" s="4"/>
    </row>
    <row r="10" spans="1:7" x14ac:dyDescent="0.3">
      <c r="A10" s="4"/>
      <c r="B10" s="4"/>
      <c r="C10" s="4"/>
      <c r="D10" s="4"/>
      <c r="E10" s="4"/>
      <c r="F10" s="4"/>
      <c r="G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informacion_extra</vt:lpstr>
      <vt:lpstr>dinamico</vt:lpstr>
      <vt:lpstr>seguimiento_detalles_defecto</vt:lpstr>
      <vt:lpstr>resumen_diario_estado_defectos</vt:lpstr>
    </vt:vector>
  </TitlesOfParts>
  <Manager/>
  <Company>SAP 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Export</dc:title>
  <dc:subject/>
  <dc:creator>SAP UI5 Document Export</dc:creator>
  <cp:keywords>SAP UI5 EXPORT</cp:keywords>
  <dc:description/>
  <cp:lastModifiedBy>Juan Esteban Garcia Galvis</cp:lastModifiedBy>
  <cp:revision/>
  <dcterms:created xsi:type="dcterms:W3CDTF">2025-07-09T17:57:49Z</dcterms:created>
  <dcterms:modified xsi:type="dcterms:W3CDTF">2025-08-03T07:45:34Z</dcterms:modified>
  <cp:category/>
  <cp:contentStatus/>
</cp:coreProperties>
</file>